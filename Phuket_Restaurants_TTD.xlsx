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taurants" sheetId="1" state="visible" r:id="rId3"/>
    <sheet name="Summary" sheetId="2" state="visible" r:id="rId4"/>
  </sheets>
  <definedNames>
    <definedName function="false" hidden="true" localSheetId="0" name="_xlnm._FilterDatabase" vbProcedure="false">Restaurants!$A$1:$AI$447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<sst xmlns="http://schemas.openxmlformats.org/spreadsheetml/2006/main" count="8969" uniqueCount="3474">
  <si>
    <t xml:space="preserve">ID</t>
  </si>
  <si>
    <t xml:space="preserve">Name (TH)</t>
  </si>
  <si>
    <t xml:space="preserve">Name (EN)</t>
  </si>
  <si>
    <t xml:space="preserve">Food Types</t>
  </si>
  <si>
    <t xml:space="preserve">Price Range</t>
  </si>
  <si>
    <t xml:space="preserve">Seats</t>
  </si>
  <si>
    <t xml:space="preserve">Parking</t>
  </si>
  <si>
    <t xml:space="preserve">Pre-order/Booking</t>
  </si>
  <si>
    <t xml:space="preserve">Delivery</t>
  </si>
  <si>
    <t xml:space="preserve">Address (TH)</t>
  </si>
  <si>
    <t xml:space="preserve">Sub-district</t>
  </si>
  <si>
    <t xml:space="preserve">District</t>
  </si>
  <si>
    <t xml:space="preserve">Province</t>
  </si>
  <si>
    <t xml:space="preserve">Post Code</t>
  </si>
  <si>
    <t xml:space="preserve">Latitude</t>
  </si>
  <si>
    <t xml:space="preserve">Longitude</t>
  </si>
  <si>
    <t xml:space="preserve">Telephone</t>
  </si>
  <si>
    <t xml:space="preserve">Mobile</t>
  </si>
  <si>
    <t xml:space="preserve">Email</t>
  </si>
  <si>
    <t xml:space="preserve">Website</t>
  </si>
  <si>
    <t xml:space="preserve">Facebook</t>
  </si>
  <si>
    <t xml:space="preserve">Line ID</t>
  </si>
  <si>
    <t xml:space="preserve">Opening Hours</t>
  </si>
  <si>
    <t xml:space="preserve">Hours Remark</t>
  </si>
  <si>
    <t xml:space="preserve">Travel By</t>
  </si>
  <si>
    <t xml:space="preserve">Detail (TH)</t>
  </si>
  <si>
    <t xml:space="preserve">Official</t>
  </si>
  <si>
    <t xml:space="preserve">Source Dept</t>
  </si>
  <si>
    <t xml:space="preserve">Rating</t>
  </si>
  <si>
    <t xml:space="preserve">View Count</t>
  </si>
  <si>
    <t xml:space="preserve">Is Open Flag</t>
  </si>
  <si>
    <t xml:space="preserve">Updated At</t>
  </si>
  <si>
    <t xml:space="preserve">Page URL</t>
  </si>
  <si>
    <t xml:space="preserve">Intro Image</t>
  </si>
  <si>
    <t xml:space="preserve">Image Count</t>
  </si>
  <si>
    <t xml:space="preserve">168 Sushi Sashimi</t>
  </si>
  <si>
    <t xml:space="preserve">อาหารญี่ปุ่น, ซูชิ</t>
  </si>
  <si>
    <t xml:space="preserve">101 - 250 บาท</t>
  </si>
  <si>
    <t xml:space="preserve">11 - 40 ที่นั่ง</t>
  </si>
  <si>
    <t xml:space="preserve">Y</t>
  </si>
  <si>
    <t xml:space="preserve">N</t>
  </si>
  <si>
    <t xml:space="preserve">Thanon Chao Fa, ตำบล ตลาดเหนือ อำเภอเมืองภูเก็ต ภูเก็ต 83000</t>
  </si>
  <si>
    <t xml:space="preserve">ตลาดเหนือ</t>
  </si>
  <si>
    <t xml:space="preserve">เมืองภูเก็ต</t>
  </si>
  <si>
    <t xml:space="preserve">ภูเก็ต</t>
  </si>
  <si>
    <t xml:space="preserve">085 013 3918</t>
  </si>
  <si>
    <t xml:space="preserve">https://www.facebook.com/168-sushi-sashimi-610991109027331/</t>
  </si>
  <si>
    <t xml:space="preserve">Mon 16:00-23:00; Tu 16:00-23:00; Wed 16:00-23:00; Thu 16:00-23:00; Fri 16:00-23:00; Sat 16:00-23:00; Sun 16:00-23:00</t>
  </si>
  <si>
    <t xml:space="preserve">รถยนต์</t>
  </si>
  <si>
    <t xml:space="preserve">168 Sushi Sashimi
ที่อยู่ Thanon Chao Fa, ตำบล ตลาดเหนือ อำเภอเมืองภูเก็ต ภูเก็ต 83000</t>
  </si>
  <si>
    <t xml:space="preserve">ศูนย์ปฏิบัติการส่วนกลาง</t>
  </si>
  <si>
    <t xml:space="preserve">https://thailandtourismdirectory.go.th/th/restaurants/90904</t>
  </si>
  <si>
    <t xml:space="preserve">https://files.thailandtourismdirectory.go.th/assets/upload/2018/11/05/20181105c4ca4238a0b923820dcc509a6f75849b134030.jpg</t>
  </si>
  <si>
    <t xml:space="preserve">360 Bar&amp;Grill</t>
  </si>
  <si>
    <t xml:space="preserve">ร้านบนดาดฟ้า</t>
  </si>
  <si>
    <t xml:space="preserve">251 - 500 บาท</t>
  </si>
  <si>
    <t xml:space="preserve">ตำบล เชิงทะเล อำเภอ ถลาง ภูเก็ต 83110</t>
  </si>
  <si>
    <t xml:space="preserve">เชิงทะเล</t>
  </si>
  <si>
    <t xml:space="preserve">ถลาง</t>
  </si>
  <si>
    <t xml:space="preserve">076 317 600</t>
  </si>
  <si>
    <t xml:space="preserve">https://www.facebook.com/360Pavilions.phuket/</t>
  </si>
  <si>
    <t xml:space="preserve">Mon 17:30-23:59; Tu 17:30-23:59; Wed 17:30-23:59; Thu 17:30-23:59; Fri 17:30-23:59; Sat 17:30-23:59; Sun 17:30-23:59</t>
  </si>
  <si>
    <t xml:space="preserve">360 Bar&amp;Grill 
ที่อยู่ ตำบล เชิงทะเล อำเภอ ถลาง ภูเก็ต 83110</t>
  </si>
  <si>
    <t xml:space="preserve">https://thailandtourismdirectory.go.th/th/restaurants/90847</t>
  </si>
  <si>
    <t xml:space="preserve">https://files.thailandtourismdirectory.go.th/assets/upload/2018/11/02/20181102c4ca4238a0b923820dcc509a6f75849b110408.jpg</t>
  </si>
  <si>
    <t xml:space="preserve">A Dressert Moments</t>
  </si>
  <si>
    <t xml:space="preserve">ร้านกาแฟ/ชา, ไอศกรีม</t>
  </si>
  <si>
    <t xml:space="preserve">22 ถนน ถลาง ตำบล ตลาดใหญ่ อำเภอเมืองภูเก็ต ภูเก็ต 83000</t>
  </si>
  <si>
    <t xml:space="preserve">ตลาดใหญ่</t>
  </si>
  <si>
    <t xml:space="preserve">096-635-8881</t>
  </si>
  <si>
    <t xml:space="preserve">https://www.facebook.com/adessertmomentsthailand/</t>
  </si>
  <si>
    <t xml:space="preserve">Mon 10:00-22:00; Wed 10:00-22:00; Thu 10:00-22:00; Fri 10:00-22:00; Sat 10:00-22:00; Sun 10:00-22:00</t>
  </si>
  <si>
    <t xml:space="preserve">A Dressert Moments
ที่อยู่ 22 ถนน ถลาง ตำบล ตลาดใหญ่ อำเภอเมืองภูเก็ต ภูเก็ต 83000</t>
  </si>
  <si>
    <t xml:space="preserve">https://thailandtourismdirectory.go.th/th/restaurants/90888</t>
  </si>
  <si>
    <t xml:space="preserve">https://files.thailandtourismdirectory.go.th/assets/upload/2018/11/05/20181105c4ca4238a0b923820dcc509a6f75849b115537.jpg</t>
  </si>
  <si>
    <t xml:space="preserve">A Little Sweet, Dessert Cafe</t>
  </si>
  <si>
    <t xml:space="preserve">ของหวาน</t>
  </si>
  <si>
    <t xml:space="preserve">ถนน เฉลิมพระเกียรติรัชกาล ที่ 9 ตำบล รัษฎา อำเภอเมืองภูเก็ต ภูเก็ต 83000</t>
  </si>
  <si>
    <t xml:space="preserve">รัษฎา</t>
  </si>
  <si>
    <t xml:space="preserve">081 893 5251</t>
  </si>
  <si>
    <t xml:space="preserve">https://www.facebook.com/alittlesweetfc/</t>
  </si>
  <si>
    <t xml:space="preserve">Mon 09:00-21:00; Tu 09:00-21:00; Wed 09:00-21:00; Thu 09:00-21:00; Fri 09:00-21:00; Sat 09:00-21:00; Sun 09:00-21:00</t>
  </si>
  <si>
    <t xml:space="preserve">A Little Sweet, Dessert Cafe 
ที่อยู่ ถนน เฉลิมพระเกียรติรัชกาล ที่ 9 ตำบล รัษฎา อำเภอเมืองภูเก็ต ภูเก็ต 83000</t>
  </si>
  <si>
    <t xml:space="preserve">https://thailandtourismdirectory.go.th/th/restaurants/90881</t>
  </si>
  <si>
    <t xml:space="preserve">https://files.thailandtourismdirectory.go.th/assets/upload/2018/11/05/20181105c4ca4238a0b923820dcc509a6f75849b100102.jpg</t>
  </si>
  <si>
    <t xml:space="preserve">A Spoonful Of sugar</t>
  </si>
  <si>
    <t xml:space="preserve">ร้านกาแฟ/ชา, เบเกอรี/เค้ก, ร้านบนดาดฟ้า</t>
  </si>
  <si>
    <t xml:space="preserve">4233 ตำบล ราไวย์ อำเภอเมืองภูเก็ต ภูเก็ต 83100</t>
  </si>
  <si>
    <t xml:space="preserve">ราไวย์</t>
  </si>
  <si>
    <t xml:space="preserve">076 388 432</t>
  </si>
  <si>
    <t xml:space="preserve">https://www.facebook.com/spoonfulofsugar/</t>
  </si>
  <si>
    <t xml:space="preserve">Tu 08:00-19:00; Wed 08:00-19:00; Thu 08:00-19:00; Fri 08:00-19:00; Sat 08:00-19:00; Sun 08:00-19:00</t>
  </si>
  <si>
    <t xml:space="preserve">A Spoonful Of sugar
ที่อยู่ 4233 ตำบล ราไวย์ อำเภอเมืองภูเก็ต ภูเก็ต 83100</t>
  </si>
  <si>
    <t xml:space="preserve">https://thailandtourismdirectory.go.th/th/restaurants/91364</t>
  </si>
  <si>
    <t xml:space="preserve">https://files.thailandtourismdirectory.go.th/assets/upload/2018/11/09/20181109c4ca4238a0b923820dcc509a6f75849b134736.jpg</t>
  </si>
  <si>
    <t xml:space="preserve">About BE</t>
  </si>
  <si>
    <t xml:space="preserve">อาหารทะเล, เบเกอรี/เค้ก, คาเฟ่</t>
  </si>
  <si>
    <t xml:space="preserve">25/34 ถนน ภูเก็ต ตำบล รัษฎา อำเภอเมืองภูเก็ต ภูเก็ต 83000</t>
  </si>
  <si>
    <t xml:space="preserve">098 670 1631</t>
  </si>
  <si>
    <t xml:space="preserve">https://www.facebook.com/aboutbethailand/</t>
  </si>
  <si>
    <t xml:space="preserve">About BE
ที่อยู่ 25/34 ถนน ภูเก็ต ตำบล รัษฎา อำเภอเมืองภูเก็ต ภูเก็ต 83000</t>
  </si>
  <si>
    <t xml:space="preserve">https://thailandtourismdirectory.go.th/th/restaurants/90799</t>
  </si>
  <si>
    <t xml:space="preserve">https://files.thailandtourismdirectory.go.th/assets/upload/2018/11/01/20181101c4ca4238a0b923820dcc509a6f75849b115254.jpg</t>
  </si>
  <si>
    <t xml:space="preserve">Acqua (อควา)</t>
  </si>
  <si>
    <t xml:space="preserve">อาหารนานาชาติ</t>
  </si>
  <si>
    <t xml:space="preserve">501 - 1000 บาท</t>
  </si>
  <si>
    <t xml:space="preserve">41 - 80 ที่นั่ง</t>
  </si>
  <si>
    <t xml:space="preserve">247 Kammala - Patong Rd, ตำบลป่าตอง อำเภอ กะทู้ ภูเก็ต 83150</t>
  </si>
  <si>
    <t xml:space="preserve">ป่าตอง</t>
  </si>
  <si>
    <t xml:space="preserve">กะทู้</t>
  </si>
  <si>
    <t xml:space="preserve">076 618 127</t>
  </si>
  <si>
    <t xml:space="preserve">https://www.facebook.com/acqua.phuket/</t>
  </si>
  <si>
    <t xml:space="preserve">Acqua (อควา)
ที่อยู่ 247 Kammala - Patong Rd, ตำบลป่าตอง อำเภอ กะทู้ ภูเก็ต 83150</t>
  </si>
  <si>
    <t xml:space="preserve">https://thailandtourismdirectory.go.th/th/restaurants/91239</t>
  </si>
  <si>
    <t xml:space="preserve">https://files.thailandtourismdirectory.go.th/assets/upload/2018/11/08/20181108c4ca4238a0b923820dcc509a6f75849b095141.jpg</t>
  </si>
  <si>
    <t xml:space="preserve">Am' Coffee (แอมคอฟฟี่)</t>
  </si>
  <si>
    <t xml:space="preserve">ร้านกาแฟ/ชา, เบเกอรี/เค้ก</t>
  </si>
  <si>
    <t xml:space="preserve">ต่ำกว่า 100 บาท</t>
  </si>
  <si>
    <t xml:space="preserve">ไม่เกิน 10 ที่นั่ง</t>
  </si>
  <si>
    <t xml:space="preserve">4031 ตำบล ไม้ขาว อำเภอ ถลาง ภูเก็ต 83110</t>
  </si>
  <si>
    <t xml:space="preserve">ไม้ขาว</t>
  </si>
  <si>
    <t xml:space="preserve">089 788 2920</t>
  </si>
  <si>
    <t xml:space="preserve">https://www.facebook.com/amcoffee11/</t>
  </si>
  <si>
    <t xml:space="preserve">Mon 09:00-18:00; Tu 09:00-18:00; Wed 09:00-18:00; Thu 09:00-18:00; Fri 09:00-18:00</t>
  </si>
  <si>
    <t xml:space="preserve">Am' Coffee (แอมคอฟฟี่) 
ที่อยู่ 4031 ตำบล ไม้ขาว อำเภอ ถลาง ภูเก็ต 83110</t>
  </si>
  <si>
    <t xml:space="preserve">https://thailandtourismdirectory.go.th/th/restaurants/91203</t>
  </si>
  <si>
    <t xml:space="preserve">https://files.thailandtourismdirectory.go.th/assets/upload/2018/11/07/20181107c4ca4238a0b923820dcc509a6f75849b151255.jpg</t>
  </si>
  <si>
    <t xml:space="preserve">Ang Ku Tea House (อังกู๊)</t>
  </si>
  <si>
    <t xml:space="preserve">เบเกอรี/เค้ก, อาหารฟิวชั่น, คาเฟ่</t>
  </si>
  <si>
    <t xml:space="preserve">81 - 150 ที่นั่ง</t>
  </si>
  <si>
    <t xml:space="preserve">ซอย ในยาง 2/1 ตำบล สาคู อำเภอ ถลาง ภูเก็ต 83110</t>
  </si>
  <si>
    <t xml:space="preserve">สาคู</t>
  </si>
  <si>
    <t xml:space="preserve">076 380 499</t>
  </si>
  <si>
    <t xml:space="preserve">https://www.facebook.com/angkuteahouse/</t>
  </si>
  <si>
    <t xml:space="preserve">Mon 07:30-22:30; Tu 07:30-22:30; Wed 07:30-22:30; Thu 07:30-22:30; Fri 07:30-22:30; Sat 07:30-22:30; Sun 07:30-22:30</t>
  </si>
  <si>
    <t xml:space="preserve">Ang Ku Tea House (อังกู๊)
ที่อยู่ ซอย ในยาง 2/1 ตำบล สาคู อำเภอ ถลาง ภูเก็ต 83110</t>
  </si>
  <si>
    <t xml:space="preserve">https://thailandtourismdirectory.go.th/th/restaurants/90856</t>
  </si>
  <si>
    <t xml:space="preserve">https://files.thailandtourismdirectory.go.th/assets/upload/2018/11/02/20181102c4ca4238a0b923820dcc509a6f75849b135145.jpg</t>
  </si>
  <si>
    <t xml:space="preserve">B Cat Cafe</t>
  </si>
  <si>
    <t xml:space="preserve">เบเกอรี/เค้ก, เครื่องดื่ม/น้ำผลไม้/ชานมไข่มุก, คาเฟ่</t>
  </si>
  <si>
    <t xml:space="preserve">14 Thep Krasattri, ตำบล ตลาดใหญ่ อำเภอเมืองภูเก็ต ภูเก็ต 83000</t>
  </si>
  <si>
    <t xml:space="preserve">084 849 0621</t>
  </si>
  <si>
    <t xml:space="preserve">https://www.facebook.com/BCatCafePhuketTown/</t>
  </si>
  <si>
    <t xml:space="preserve">Mon 11:00-20:30; Tu 11:00-20:30; Thu 11:00-20:30; Fri 11:00-20:30; Sat 10:00-22:00; Sun 10:00-22:00</t>
  </si>
  <si>
    <t xml:space="preserve">B Cat Cafe 
ที่อยู่ 14 Thep Krasattri, ตำบล ตลาดใหญ่ อำเภอเมืองภูเก็ต ภูเก็ต 83000</t>
  </si>
  <si>
    <t xml:space="preserve">https://thailandtourismdirectory.go.th/th/restaurants/90846</t>
  </si>
  <si>
    <t xml:space="preserve">https://files.thailandtourismdirectory.go.th/assets/upload/2018/11/02/20181102c4ca4238a0b923820dcc509a6f75849b105651.jpg</t>
  </si>
  <si>
    <t xml:space="preserve">BAAN CHEESE</t>
  </si>
  <si>
    <t xml:space="preserve">หมูกระทะ, อาหารกล่อง/ข้าวกล่อง เดลิเวอรี</t>
  </si>
  <si>
    <t xml:space="preserve">51 ถนน สตูล ตำบล ตลาดเหนือ อำเภอเมืองภูเก็ต ภูเก็ต 83000</t>
  </si>
  <si>
    <t xml:space="preserve">084 307 7999</t>
  </si>
  <si>
    <t xml:space="preserve">https://www.facebook.com/baancheese/</t>
  </si>
  <si>
    <t xml:space="preserve">Mon 11:00-21:00; Tu 11:00-21:00; Wed 11:00-21:00; Thu 11:00-21:00; Fri 11:00-21:00; Sat 11:00-21:00; Sun 11:00-21:00</t>
  </si>
  <si>
    <t xml:space="preserve">BAAN CHEESE 
ที่อยู่ 51 ถนน สตูล ตำบล ตลาดเหนือ อำเภอเมืองภูเก็ต ภูเก็ต 83000</t>
  </si>
  <si>
    <t xml:space="preserve">https://thailandtourismdirectory.go.th/th/restaurants/92103</t>
  </si>
  <si>
    <t xml:space="preserve">https://files.thailandtourismdirectory.go.th/assets/upload/2018/11/16/20181116c4ca4238a0b923820dcc509a6f75849b134757.jpg</t>
  </si>
  <si>
    <t xml:space="preserve">BEER FARM</t>
  </si>
  <si>
    <t xml:space="preserve">กึ่งผับ/ร้านเหล้า/บาร์</t>
  </si>
  <si>
    <t xml:space="preserve">ถนน วิรัชหงษ์หยก ตำบล รัษฎา อำเภอเมืองภูเก็ต ภูเก็ต 83000</t>
  </si>
  <si>
    <t xml:space="preserve">082 594 0929</t>
  </si>
  <si>
    <t xml:space="preserve">https://www.facebook.com/Beer-Farm-Phuket-667383446984428/</t>
  </si>
  <si>
    <t xml:space="preserve">Mon 18:00-23:59; Tu 18:00-23:59; Wed 18:00-23:59; Thu 18:00-23:59; Fri 18:00-23:59; Sat 18:00-23:59; Sun 18:00-23:59</t>
  </si>
  <si>
    <t xml:space="preserve">BEER FARM
ที่อยู่ ถนน วิรัชหงษ์หยก ตำบล รัษฎา อำเภอเมืองภูเก็ต ภูเก็ต 83000</t>
  </si>
  <si>
    <t xml:space="preserve">https://thailandtourismdirectory.go.th/th/restaurants/92974</t>
  </si>
  <si>
    <t xml:space="preserve">https://files.thailandtourismdirectory.go.th/assets/upload/2018/11/19/20181119c4ca4238a0b923820dcc509a6f75849b102840.jpg</t>
  </si>
  <si>
    <t xml:space="preserve">Baba Pool Club @ศรีพันวา</t>
  </si>
  <si>
    <t xml:space="preserve">กึ่งผับ/ร้านเหล้า/บาร์, อาหารนานาชาติ</t>
  </si>
  <si>
    <t xml:space="preserve">88/1 Sakdidej Rd, ตำบล รัษฎา อำเภอเมืองภูเก็ต ภูเก็ต 83000</t>
  </si>
  <si>
    <t xml:space="preserve">076-371-008 </t>
  </si>
  <si>
    <t xml:space="preserve">https://www.facebook.com/SripanwaPhuket/</t>
  </si>
  <si>
    <t xml:space="preserve">Mon 07:00-22:30; Tu 07:00-22:30; Wed 07:00-22:30; Thu 07:00-22:30; Fri 07:00-22:30; Sat 07:00-22:30; Sun 07:00-22:30</t>
  </si>
  <si>
    <t xml:space="preserve">Baba Pool Club @ศรีพันวา 
ที่อยู่ 88/1 Sakdidej Rd, ตำบล รัษฎา อำเภอเมืองภูเก็ต ภูเก็ต 83000</t>
  </si>
  <si>
    <t xml:space="preserve">https://thailandtourismdirectory.go.th/th/restaurants/90812</t>
  </si>
  <si>
    <t xml:space="preserve">https://files.thailandtourismdirectory.go.th/assets/upload/2018/11/01/20181101c4ca4238a0b923820dcc509a6f75849b142743.jpg</t>
  </si>
  <si>
    <t xml:space="preserve">Baboon Latido Bistro Cafe</t>
  </si>
  <si>
    <t xml:space="preserve">พิซซ่า, คาเฟ่</t>
  </si>
  <si>
    <t xml:space="preserve">59 ถนน รัษฎา ตำบล ตลาดเหนือ อำเภอเมืองภูเก็ต ภูเก็ต 83000</t>
  </si>
  <si>
    <t xml:space="preserve">063 149 4456</t>
  </si>
  <si>
    <t xml:space="preserve">https://www.facebook.com/proudkhwan/</t>
  </si>
  <si>
    <t xml:space="preserve">Tu 11:00-21:00; Wed 11:00-21:00; Thu 11:00-21:00; Fri 11:00-21:00; Sat 11:00-21:00; Sun 11:00-21:00</t>
  </si>
  <si>
    <t xml:space="preserve">Baboon Latido Bistro Cafe 
ที่อยู่ 59 ถนน รัษฎา ตำบล ตลาดเหนือ อำเภอเมืองภูเก็ต ภูเก็ต 83000</t>
  </si>
  <si>
    <t xml:space="preserve">https://thailandtourismdirectory.go.th/th/restaurants/91741</t>
  </si>
  <si>
    <t xml:space="preserve">https://files.thailandtourismdirectory.go.th/assets/upload/2018/11/14/20181114c4ca4238a0b923820dcc509a6f75849b092658.jpg</t>
  </si>
  <si>
    <t xml:space="preserve">Backyard (แบ็คยาร์ด)</t>
  </si>
  <si>
    <t xml:space="preserve">คาเฟ่</t>
  </si>
  <si>
    <t xml:space="preserve">095 016 6262</t>
  </si>
  <si>
    <t xml:space="preserve">https://www.facebook.com/backyardphuket/</t>
  </si>
  <si>
    <t xml:space="preserve">Mon 07:00-17:00; Tu 07:00-17:00; Wed 07:00-17:00; Thu 07:00-17:00; Fri 07:00-17:00; Sat 07:00-17:00; Sun 07:00-17:00</t>
  </si>
  <si>
    <t xml:space="preserve">Backyard (แบ็คยาร์ด) 
ที่อยู่ ถนน เฉลิมพระเกียรติรัชกาล ที่ 9 ตำบล รัษฎา อำเภอเมืองภูเก็ต ภูเก็ต 83000</t>
  </si>
  <si>
    <t xml:space="preserve">https://thailandtourismdirectory.go.th/th/restaurants/91777</t>
  </si>
  <si>
    <t xml:space="preserve">https://files.thailandtourismdirectory.go.th/assets/upload/2018/11/14/20181114c4ca4238a0b923820dcc509a6f75849b134909.jpg</t>
  </si>
  <si>
    <t xml:space="preserve">Baikingu Japanese Buffet Garden Restaurant</t>
  </si>
  <si>
    <t xml:space="preserve">อาหารญี่ปุ่น, บุฟเฟ่ต์, อาหารคลีน/สลัด</t>
  </si>
  <si>
    <t xml:space="preserve">ถนน เจ้าฟ้าสวนหลวง ตำบล รัษฎา อำเภอเมืองภูเก็ต ภูเก็ต 83000</t>
  </si>
  <si>
    <t xml:space="preserve">095 565 4464</t>
  </si>
  <si>
    <t xml:space="preserve">https://www.facebook.com/Baikingu.buffet/</t>
  </si>
  <si>
    <t xml:space="preserve">Baikingu Japanese Buffet Garden Restaurant
ที่อยู่ ถนน เจ้าฟ้าสวนหลวง ตำบล รัษฎา อำเภอเมืองภูเก็ต ภูเก็ต 83000</t>
  </si>
  <si>
    <t xml:space="preserve">https://thailandtourismdirectory.go.th/th/restaurants/91370</t>
  </si>
  <si>
    <t xml:space="preserve">https://files.thailandtourismdirectory.go.th/assets/upload/2018/11/09/20181109c4ca4238a0b923820dcc509a6f75849b141417.jpg</t>
  </si>
  <si>
    <t xml:space="preserve">Bamboo Bar &amp; Grill Public House</t>
  </si>
  <si>
    <t xml:space="preserve">4020 ตำบล รัษฎา อำเภอเมืองภูเก็ต ภูเก็ต 83000</t>
  </si>
  <si>
    <t xml:space="preserve">087 881 9664</t>
  </si>
  <si>
    <t xml:space="preserve">https://www.facebook.com/bamboobarphuket/</t>
  </si>
  <si>
    <t xml:space="preserve">Mon 10:30-23:59; Tu 10:30-23:59; Wed 10:30-23:59; Thu 10:30-23:59; Fri 10:30-23:59; Sat 10:30-23:59; Sun 10:30-23:59</t>
  </si>
  <si>
    <t xml:space="preserve">Bamboo Bar &amp; Grill Public House 
ที่อยู่ 4020 ตำบล รัษฎา อำเภอเมืองภูเก็ต ภูเก็ต 83000</t>
  </si>
  <si>
    <t xml:space="preserve">https://thailandtourismdirectory.go.th/th/restaurants/91940</t>
  </si>
  <si>
    <t xml:space="preserve">https://files.thailandtourismdirectory.go.th/assets/upload/2018/11/15/20181115c4ca4238a0b923820dcc509a6f75849b092409.jpg</t>
  </si>
  <si>
    <t xml:space="preserve">Bar We Grill Cafe &amp; Restaurant</t>
  </si>
  <si>
    <t xml:space="preserve">สเต๊ก, อาหารคลีน/สลัด, อาหารฟิวชั่น</t>
  </si>
  <si>
    <t xml:space="preserve">ถนน วิชิตสงคราม ตำบล กะทู้ อำเภอ กะทู้ ภูเก็ต 83120</t>
  </si>
  <si>
    <t xml:space="preserve">084 630 6665</t>
  </si>
  <si>
    <t xml:space="preserve">https://www.facebook.com/barwegrill/</t>
  </si>
  <si>
    <t xml:space="preserve">Mon 09:00-20:00; Tu 09:00-20:00; Wed 09:00-20:00; Thu 09:00-20:00; Fri 09:00-20:00; Sat 09:00-20:00; Sun 09:00-20:00</t>
  </si>
  <si>
    <t xml:space="preserve">Bar We Grill Cafe &amp; Restaurant
ที่อยู่ ถนน วิชิตสงคราม ตำบล กะทู้ อำเภอ กะทู้ ภูเก็ต 83120</t>
  </si>
  <si>
    <t xml:space="preserve">https://thailandtourismdirectory.go.th/th/restaurants/91214</t>
  </si>
  <si>
    <t xml:space="preserve">https://files.thailandtourismdirectory.go.th/assets/upload/2018/11/07/20181107c4ca4238a0b923820dcc509a6f75849b155729.jpg</t>
  </si>
  <si>
    <t xml:space="preserve">Bella's House 1978</t>
  </si>
  <si>
    <t xml:space="preserve">ร้านกาแฟ/ชา, เบเกอรี/เค้ก, อาหารอเมริกัน</t>
  </si>
  <si>
    <t xml:space="preserve">ตำบล เกาะแก้ว อำเภอเมืองภูเก็ต ภูเก็ต 83000</t>
  </si>
  <si>
    <t xml:space="preserve">เกาะแก้ว</t>
  </si>
  <si>
    <t xml:space="preserve">085 128 3492</t>
  </si>
  <si>
    <t xml:space="preserve">https://www.facebook.com/bellahouse1978/</t>
  </si>
  <si>
    <t xml:space="preserve">Mon 09:00-19:30; Tu 09:00-19:30; Wed 09:00-19:30; Thu 09:00-19:30; Fri 09:00-19:30; Sat 09:00-19:30; Sun 09:00-19:30</t>
  </si>
  <si>
    <t xml:space="preserve">Bella's House 1978 
ที่อยู่  ตำบล เกาะแก้ว อำเภอเมืองภูเก็ต ภูเก็ต 83000</t>
  </si>
  <si>
    <t xml:space="preserve">https://thailandtourismdirectory.go.th/th/restaurants/91209</t>
  </si>
  <si>
    <t xml:space="preserve">https://files.thailandtourismdirectory.go.th/assets/upload/2018/11/07/20181107c4ca4238a0b923820dcc509a6f75849b153235.jpg</t>
  </si>
  <si>
    <t xml:space="preserve">Biscuit (บิสกิต)</t>
  </si>
  <si>
    <t xml:space="preserve">ร้านกาแฟ/ชา, ของหวาน</t>
  </si>
  <si>
    <t xml:space="preserve">ซอย ร่วมใจ ตำบล รัษฎา อำเภอเมืองภูเก็ต ภูเก็ต 83000</t>
  </si>
  <si>
    <t xml:space="preserve">076 302 900</t>
  </si>
  <si>
    <t xml:space="preserve">https://www.facebook.com/CrownePlazaPhuketPanwa/</t>
  </si>
  <si>
    <t xml:space="preserve">Mon 07:00-21:00; Tu 07:00-21:00; Wed 07:00-21:00; Thu 07:00-21:00; Fri 07:00-21:00; Sat 07:00-21:00; Sun 07:00-21:00</t>
  </si>
  <si>
    <t xml:space="preserve">Biscuit (บิสกิต)
ที่อยู่ ซอย ร่วมใจ ตำบล รัษฎา อำเภอเมืองภูเก็ต ภูเก็ต 83000</t>
  </si>
  <si>
    <t xml:space="preserve">https://thailandtourismdirectory.go.th/th/restaurants/92090</t>
  </si>
  <si>
    <t xml:space="preserve">https://files.thailandtourismdirectory.go.th/assets/upload/2018/11/16/20181116c4ca4238a0b923820dcc509a6f75849b105148.jpg</t>
  </si>
  <si>
    <t xml:space="preserve">Blue Elephant</t>
  </si>
  <si>
    <t xml:space="preserve">อาหารไทย</t>
  </si>
  <si>
    <t xml:space="preserve">มากกว่า 150 ที่นั่ง</t>
  </si>
  <si>
    <t xml:space="preserve">98 ถนน กระบี่ ตำบล ตลาดเหนือ อำเภอเมืองภูเก็ต ภูเก็ต 83000</t>
  </si>
  <si>
    <t xml:space="preserve">076 354 355</t>
  </si>
  <si>
    <t xml:space="preserve">https://www.facebook.com/BlueElephantPhuket/</t>
  </si>
  <si>
    <t xml:space="preserve">Sun 18:30-22:30; Mon 11:30-17:00; Mon 18:30-22:30; Tu 11:30-17:00; Tu 18:30-22:30; Wed 11:30-17:00; Wed 18:30-22:30; Thu 11:30-17:00; Thu 18:30-22:30; Fri 11:30-17:00; Fri 18:30-22:30; Sat 11:30-17:00; Sat 18:30-22:30; Sun 11:30-17:00</t>
  </si>
  <si>
    <t xml:space="preserve">Blue Elephant
ที่อยู่ 98 ถนน กระบี่ ตำบล ตลาดเหนือ อำเภอเมืองภูเก็ต ภูเก็ต 83000</t>
  </si>
  <si>
    <t xml:space="preserve">https://thailandtourismdirectory.go.th/th/restaurants/91210</t>
  </si>
  <si>
    <t xml:space="preserve">https://files.thailandtourismdirectory.go.th/assets/upload/2018/11/07/20181107c4ca4238a0b923820dcc509a6f75849b154206.jpg</t>
  </si>
  <si>
    <t xml:space="preserve">Bodega &amp; Grill</t>
  </si>
  <si>
    <t xml:space="preserve">อาหารอิตาเลียน</t>
  </si>
  <si>
    <t xml:space="preserve">076 324 101</t>
  </si>
  <si>
    <t xml:space="preserve">https://www.facebook.com/BodegaandGrill/</t>
  </si>
  <si>
    <t xml:space="preserve">Mon 10:00-21:00; Tu 10:00-21:00; Wed 10:00-21:00; Thu 10:00-21:00; Fri 10:00-21:00; Sat 10:00-21:00; Sun 10:00-21:00</t>
  </si>
  <si>
    <t xml:space="preserve">Bodega &amp; Grill 
ที่อยู่ ตำบล เชิงทะเล อำเภอ ถลาง ภูเก็ต 83110</t>
  </si>
  <si>
    <t xml:space="preserve">https://thailandtourismdirectory.go.th/th/restaurants/91774</t>
  </si>
  <si>
    <t xml:space="preserve">https://files.thailandtourismdirectory.go.th/assets/upload/2018/11/14/20181114c4ca4238a0b923820dcc509a6f75849b133508.jpg</t>
  </si>
  <si>
    <t xml:space="preserve">Brasserie Phuket</t>
  </si>
  <si>
    <t xml:space="preserve">ร้านไวน์, อาหารฝรั่งเศส</t>
  </si>
  <si>
    <t xml:space="preserve">14 ถนน รัษฎา ตำบล ตลาดเหนือ อำเภอเมืองภูเก็ต ภูเก็ต 83000</t>
  </si>
  <si>
    <t xml:space="preserve">076 210 511</t>
  </si>
  <si>
    <t xml:space="preserve">https://www.facebook.com/brasseriephuket/</t>
  </si>
  <si>
    <t xml:space="preserve">Brasserie Phuket
ที่อยู่ 14 ถนน รัษฎา ตำบล ตลาดเหนือ อำเภอเมืองภูเก็ต ภูเก็ต 83000</t>
  </si>
  <si>
    <t xml:space="preserve">https://thailandtourismdirectory.go.th/th/restaurants/92105</t>
  </si>
  <si>
    <t xml:space="preserve">https://files.thailandtourismdirectory.go.th/assets/upload/2018/11/16/20181116c4ca4238a0b923820dcc509a6f75849b140405.jpg</t>
  </si>
  <si>
    <t xml:space="preserve">Brite dessert cafe</t>
  </si>
  <si>
    <t xml:space="preserve">ร้านกาแฟ/ชา</t>
  </si>
  <si>
    <t xml:space="preserve">9/99 ถนน ศักดิเดชน์ ซอย 1 ตำบล ตลาดเหนือ อำเภอเมืองภูเก็ต ภูเก็ต 83000</t>
  </si>
  <si>
    <t xml:space="preserve">065 053 6649</t>
  </si>
  <si>
    <t xml:space="preserve">https://www.facebook.com/britecafe/</t>
  </si>
  <si>
    <t xml:space="preserve">Brite dessert cafe 
ที่อยู่ 9/99 ถนน ศักดิเดชน์ ซอย 1 ตำบล ตลาดเหนือ อำเภอเมืองภูเก็ต ภูเก็ต 83000</t>
  </si>
  <si>
    <t xml:space="preserve">https://thailandtourismdirectory.go.th/th/restaurants/91768</t>
  </si>
  <si>
    <t xml:space="preserve">https://files.thailandtourismdirectory.go.th/assets/upload/2018/11/14/20181114c4ca4238a0b923820dcc509a6f75849b130747.jpg</t>
  </si>
  <si>
    <t xml:space="preserve">Brown café</t>
  </si>
  <si>
    <t xml:space="preserve">3 ถนน ทุ่งคา ตำบล ตลาดเหนือ อำเภอเมืองภูเก็ต ภูเก็ต 83000</t>
  </si>
  <si>
    <t xml:space="preserve">061 926 5956</t>
  </si>
  <si>
    <t xml:space="preserve">https://www.facebook.com/BrownBakeBlend/</t>
  </si>
  <si>
    <t xml:space="preserve">Tu 07:00-19:00; Wed 07:00-19:00; Thu 07:00-19:00; Fri 07:00-19:00; Sat 09:00-19:00; Sun 09:00-19:00</t>
  </si>
  <si>
    <t xml:space="preserve">Brown café 
ที่อยู่ 3 ถนน ทุ่งคา ตำบล ตลาดเหนือ อำเภอเมืองภูเก็ต ภูเก็ต 83000</t>
  </si>
  <si>
    <t xml:space="preserve">https://thailandtourismdirectory.go.th/th/restaurants/90890</t>
  </si>
  <si>
    <t xml:space="preserve">https://files.thailandtourismdirectory.go.th/assets/upload/2018/11/05/20181105c4ca4238a0b923820dcc509a6f75849b121047.jpg</t>
  </si>
  <si>
    <t xml:space="preserve">Bubbles Restaurant</t>
  </si>
  <si>
    <t xml:space="preserve">บุฟเฟ่ต์, อาหารนานาชาติ, บุฟเฟ่ต์โรงแรม</t>
  </si>
  <si>
    <t xml:space="preserve">มากกว่า 1000 บาท</t>
  </si>
  <si>
    <t xml:space="preserve">227/2 ถนน ราษฏร์อุทิศ 200 ปี ตำบลป่าตอง อำเภอ กะทู้ ภูเก็ต 83150</t>
  </si>
  <si>
    <t xml:space="preserve">076 231 999</t>
  </si>
  <si>
    <t xml:space="preserve">https://www.facebook.com/bubblesrestaurantpatong/</t>
  </si>
  <si>
    <t xml:space="preserve">Mon 06:30-23:59; Tu 06:30-23:59; Wed 06:30-23:59; Thu 06:30-23:59; Fri 06:30-23:59; Sat 06:30-23:59; Sun 06:30-23:59</t>
  </si>
  <si>
    <t xml:space="preserve">Bubbles Restaurant 
ที่อยู่ 227/2 ถนน ราษฏร์อุทิศ 200 ปี ตำบลป่าตอง อำเภอ กะทู้ ภูเก็ต 83150</t>
  </si>
  <si>
    <t xml:space="preserve">https://thailandtourismdirectory.go.th/th/restaurants/91179</t>
  </si>
  <si>
    <t xml:space="preserve">https://files.thailandtourismdirectory.go.th/assets/upload/2018/11/07/20181107c4ca4238a0b923820dcc509a6f75849b140107.jpg</t>
  </si>
  <si>
    <t xml:space="preserve">Butcher Elite Beef</t>
  </si>
  <si>
    <t xml:space="preserve">อาหารทะเล, อาหารญี่ปุ่น, ปิ้งย่าง</t>
  </si>
  <si>
    <t xml:space="preserve">4020 ตำบล กะทู้ อำเภอ กะทู้ ภูเก็ต 83120</t>
  </si>
  <si>
    <t xml:space="preserve">081 788 6528</t>
  </si>
  <si>
    <t xml:space="preserve">https://www.facebook.com/ButcherEliteBeef/</t>
  </si>
  <si>
    <t xml:space="preserve">Mon 11:00-22:00; Tu 11:00-22:00; Wed 11:00-22:00; Thu 11:00-22:00; Fri 11:00-22:00; Sat 11:00-22:00; Sun 11:00-22:00</t>
  </si>
  <si>
    <t xml:space="preserve">Butcher Elite Beef
ที่อยู่ 4020 ตำบล กะทู้ อำเภอ กะทู้ ภูเก็ต 83120</t>
  </si>
  <si>
    <t xml:space="preserve">https://thailandtourismdirectory.go.th/th/restaurants/91129</t>
  </si>
  <si>
    <t xml:space="preserve">https://files.thailandtourismdirectory.go.th/assets/upload/2018/11/07/20181107c4ca4238a0b923820dcc509a6f75849b092840.jpg</t>
  </si>
  <si>
    <t xml:space="preserve">CHA CO Tea Bar</t>
  </si>
  <si>
    <t xml:space="preserve">ร้านกาแฟ/ชา, เครื่องดื่ม/น้ำผลไม้/ชานมไข่มุก</t>
  </si>
  <si>
    <t xml:space="preserve">59 ถนน ปฏิพัทธิ์ ตำบล ตลาดเหนือ อำเภอเมืองภูเก็ต ภูเก็ต 83000</t>
  </si>
  <si>
    <t xml:space="preserve">085 164 2311</t>
  </si>
  <si>
    <t xml:space="preserve">https://www.facebook.com/chaco.teabar/</t>
  </si>
  <si>
    <t xml:space="preserve">Mon 10:00-18:00; Tu 10:00-18:00; Fri 10:00-18:00; Sat 10:00-18:00; Sun 10:00-18:00</t>
  </si>
  <si>
    <t xml:space="preserve">CHA CO Tea Bar 
ที่อยู่ 59 ถนน ปฏิพัทธิ์ ตำบล ตลาดเหนือ อำเภอเมืองภูเก็ต ภูเก็ต 83000</t>
  </si>
  <si>
    <t xml:space="preserve">https://thailandtourismdirectory.go.th/th/restaurants/91313</t>
  </si>
  <si>
    <t xml:space="preserve">https://files.thailandtourismdirectory.go.th/assets/upload/2018/11/09/20181109c4ca4238a0b923820dcc509a6f75849b090208.jpg</t>
  </si>
  <si>
    <t xml:space="preserve">CLUB NO.43</t>
  </si>
  <si>
    <t xml:space="preserve">47 ถนนเยาวราช ตำบล ตลาดเหนือ อำเภอเมืองภูเก็ต ภูเก็ต 83000</t>
  </si>
  <si>
    <t xml:space="preserve">099 305 6333</t>
  </si>
  <si>
    <t xml:space="preserve">https://www.facebook.com/CLUB-NO43-1495032174131850/</t>
  </si>
  <si>
    <t xml:space="preserve">Sun 19:00-23:59; Mon 00:00-02:00; Mon 19:00-23:59; Tu 00:00-02:00; Tu 19:00-23:59; Wed 00:00-02:00; Wed 19:00-23:59; Thu 00:00-02:00; Thu 19:00-23:59; Fri 00:00-02:00; Fri 19:00-23:59; Sat 00:00-02:00; Sat 19:00-23:59; Sun 00:00-02:00</t>
  </si>
  <si>
    <t xml:space="preserve">CLUB NO.43
ที่อยู่ 47 ถนนเยาวราช ตำบล ตลาดเหนือ อำเภอเมืองภูเก็ต ภูเก็ต 83000</t>
  </si>
  <si>
    <t xml:space="preserve">https://thailandtourismdirectory.go.th/th/restaurants/90926</t>
  </si>
  <si>
    <t xml:space="preserve">https://files.thailandtourismdirectory.go.th/assets/upload/2018/11/05/20181105c4ca4238a0b923820dcc509a6f75849b150420.jpg</t>
  </si>
  <si>
    <t xml:space="preserve">CRAFTs &amp; Co.</t>
  </si>
  <si>
    <t xml:space="preserve">กึ่งผับ/ร้านเหล้า/บาร์, อาหารอิตาเลียน</t>
  </si>
  <si>
    <t xml:space="preserve">81 ถนนเยาวราช ตำบล ตลาดเหนือ อำเภอเมืองภูเก็ต ภูเก็ต 83000</t>
  </si>
  <si>
    <t xml:space="preserve">096 404 9722</t>
  </si>
  <si>
    <t xml:space="preserve">https://www.facebook.com/CraftsnCo/</t>
  </si>
  <si>
    <t xml:space="preserve">Mon 17:00-23:59; Tu 17:00-23:59; Wed 17:00-23:59; Thu 17:00-23:59; Fri 17:00-23:59; Sat 17:00-23:59; Sun 17:00-23:59</t>
  </si>
  <si>
    <t xml:space="preserve">CRAFTs &amp; Co. 
ที่อยู่ 81 ถนนเยาวราช ตำบล ตลาดเหนือ อำเภอเมืองภูเก็ต ภูเก็ต 83000</t>
  </si>
  <si>
    <t xml:space="preserve">https://thailandtourismdirectory.go.th/th/restaurants/91458</t>
  </si>
  <si>
    <t xml:space="preserve">https://files.thailandtourismdirectory.go.th/assets/upload/2018/11/13/20181113c4ca4238a0b923820dcc509a6f75849b112750.jpg</t>
  </si>
  <si>
    <t xml:space="preserve">Cafe Del Sol (คาเฟ่ เดลซอล)</t>
  </si>
  <si>
    <t xml:space="preserve">ร้านกาแฟ/ชา, เบเกอรี/เค้ก, ของหวาน</t>
  </si>
  <si>
    <t xml:space="preserve">43 ถนน ดีบุก ตำบล ตลาดเหนือ อำเภอเมืองภูเก็ต ภูเก็ต 83000</t>
  </si>
  <si>
    <t xml:space="preserve">096 635 3536</t>
  </si>
  <si>
    <t xml:space="preserve">https://www.facebook.com/cafedelsolphuket/</t>
  </si>
  <si>
    <t xml:space="preserve">Cafe Del Sol (คาเฟ่ เดลซอล)
ที่อยู่ 43 ถนน ดีบุก ตำบล ตลาดเหนือ อำเภอเมืองภูเก็ต ภูเก็ต 83000</t>
  </si>
  <si>
    <t xml:space="preserve">https://thailandtourismdirectory.go.th/th/restaurants/91178</t>
  </si>
  <si>
    <t xml:space="preserve">https://files.thailandtourismdirectory.go.th/assets/upload/2018/11/07/20181107c4ca4238a0b923820dcc509a6f75849b135654.jpg</t>
  </si>
  <si>
    <t xml:space="preserve">Cafe' At Home</t>
  </si>
  <si>
    <t xml:space="preserve">ร้านกาแฟ/ชา, เบเกอรี/เค้ก, เครื่องดื่ม/น้ำผลไม้/ชานมไข่มุก</t>
  </si>
  <si>
    <t xml:space="preserve">4027 ตำบล ป่าคลอก อำเภอ ถลาง ภูเก็ต 83110</t>
  </si>
  <si>
    <t xml:space="preserve">ป่าคลอก</t>
  </si>
  <si>
    <t xml:space="preserve">085 903 2835</t>
  </si>
  <si>
    <t xml:space="preserve">https://www.facebook.com/CafeAtHomePhuket/</t>
  </si>
  <si>
    <t xml:space="preserve">Mon 09:00-17:00; Tu 09:00-17:00; Wed 09:00-17:00; Thu 09:00-17:00; Fri 09:00-17:00; Sat 09:00-19:00; Sun 09:00-19:00</t>
  </si>
  <si>
    <t xml:space="preserve">Cafe' At Home 
ที่อยู่ 4027 ตำบล ป่าคลอก อำเภอ ถลาง ภูเก็ต 83110</t>
  </si>
  <si>
    <t xml:space="preserve">https://thailandtourismdirectory.go.th/th/restaurants/91934</t>
  </si>
  <si>
    <t xml:space="preserve">https://files.thailandtourismdirectory.go.th/assets/upload/2018/11/15/20181115c4ca4238a0b923820dcc509a6f75849b100753.jpg</t>
  </si>
  <si>
    <t xml:space="preserve">Cafe' Havana</t>
  </si>
  <si>
    <t xml:space="preserve">093 636 2236</t>
  </si>
  <si>
    <t xml:space="preserve">https://www.facebook.com/CAFEHavanakata/</t>
  </si>
  <si>
    <t xml:space="preserve">Mon 09:30-18:30; Tu 09:30-18:30; Thu 09:30-18:30; Fri 09:30-18:30; Sat 09:30-18:30; Sun 09:30-18:30</t>
  </si>
  <si>
    <t xml:space="preserve">Cafe' Havana 
ที่อยู่ 4233 ตำบล ราไวย์ อำเภอเมืองภูเก็ต ภูเก็ต 83100</t>
  </si>
  <si>
    <t xml:space="preserve">https://thailandtourismdirectory.go.th/th/restaurants/91167</t>
  </si>
  <si>
    <t xml:space="preserve">https://files.thailandtourismdirectory.go.th/assets/upload/2018/11/07/20181107c4ca4238a0b923820dcc509a6f75849b114917.jpg</t>
  </si>
  <si>
    <t xml:space="preserve">Cafe' Kantary</t>
  </si>
  <si>
    <t xml:space="preserve">36/11 ถนน ศักดิเดชน์ ตำบล รัษฎา อำเภอเมืองภูเก็ต ภูเก็ต 83000</t>
  </si>
  <si>
    <t xml:space="preserve">076-391-514</t>
  </si>
  <si>
    <t xml:space="preserve">https://www.facebook.com/cafekantary/</t>
  </si>
  <si>
    <t xml:space="preserve">Mon 08:00-23:00; Tu 08:00-23:00; Wed 08:00-23:00; Thu 08:00-23:00; Fri 08:00-23:00; Sat 08:00-23:00; Sun 08:00-23:00</t>
  </si>
  <si>
    <t xml:space="preserve">Cafe' Kantary
ที่อยู่ 36/11 ถนน ศักดิเดชน์ ตำบล รัษฎา อำเภอเมืองภูเก็ต ภูเก็ต 83000</t>
  </si>
  <si>
    <t xml:space="preserve">https://thailandtourismdirectory.go.th/th/restaurants/90826</t>
  </si>
  <si>
    <t xml:space="preserve">https://files.thailandtourismdirectory.go.th/assets/upload/2018/11/01/20181101c4ca4238a0b923820dcc509a6f75849b154423.jpg</t>
  </si>
  <si>
    <t xml:space="preserve">Cafe'in - Thaihua Museum</t>
  </si>
  <si>
    <t xml:space="preserve">26 ถนน กระบี่ ตำบล ตลาดเหนือ อำเภอเมืองภูเก็ต ภูเก็ต 83000</t>
  </si>
  <si>
    <t xml:space="preserve">088 766 0962</t>
  </si>
  <si>
    <t xml:space="preserve">https://www.facebook.com/CafeinThaihuaMuseum/</t>
  </si>
  <si>
    <t xml:space="preserve">Tu 09:30-19:00; Wed 09:30-19:00; Thu 09:30-19:00; Fri 09:30-19:00; Sat 09:30-19:00; Sun 09:30-19:00</t>
  </si>
  <si>
    <t xml:space="preserve">Cafe'in - Thaihua Museum 
ที่อยู่ 26 ถนน กระบี่ ตำบล ตลาดเหนือ อำเภอเมืองภูเก็ต ภูเก็ต 83000</t>
  </si>
  <si>
    <t xml:space="preserve">https://thailandtourismdirectory.go.th/th/restaurants/90848</t>
  </si>
  <si>
    <t xml:space="preserve">https://files.thailandtourismdirectory.go.th/assets/upload/2018/11/02/20181102c4ca4238a0b923820dcc509a6f75849b111027.jpg</t>
  </si>
  <si>
    <t xml:space="preserve">Café Dcup (คาเฟ่ ดีคัพ)</t>
  </si>
  <si>
    <t xml:space="preserve">ร้านกาแฟ/ชา, เบเกอรี/เค้ก, อาหารฟิวชั่น</t>
  </si>
  <si>
    <t xml:space="preserve">4030 ตำบล เชิงทะเล อำเภอ ถลาง ภูเก็ต 83110</t>
  </si>
  <si>
    <t xml:space="preserve">087 384 1599</t>
  </si>
  <si>
    <t xml:space="preserve">https://www.facebook.com/cafeDCUP/</t>
  </si>
  <si>
    <t xml:space="preserve">Mon 09:00-18:00; Tu 09:00-18:00; Wed 09:00-18:00; Thu 09:00-18:00; Fri 09:00-18:00; Sat 09:00-18:00; Sun 09:00-18:00</t>
  </si>
  <si>
    <t xml:space="preserve">Café Dcup (คาเฟ่ ดีคัพ)
ที่อยู่ 4030 ตำบล เชิงทะเล อำเภอ ถลาง ภูเก็ต 83110</t>
  </si>
  <si>
    <t xml:space="preserve">https://thailandtourismdirectory.go.th/th/restaurants/91740</t>
  </si>
  <si>
    <t xml:space="preserve">https://files.thailandtourismdirectory.go.th/assets/upload/2018/11/14/20181114c4ca4238a0b923820dcc509a6f75849b092249.jpg</t>
  </si>
  <si>
    <t xml:space="preserve">Café Y Té</t>
  </si>
  <si>
    <t xml:space="preserve">เบเกอรี/เค้ก, เครื่องดื่ม/น้ำผลไม้/ชานมไข่มุก</t>
  </si>
  <si>
    <t xml:space="preserve">30 ถนน ภูเก็ต ตำบล ตลาดใหญ่ อำเภอเมืองภูเก็ต ภูเก็ต 83000</t>
  </si>
  <si>
    <t xml:space="preserve">076 219 019</t>
  </si>
  <si>
    <t xml:space="preserve">https://www.facebook.com/Caf%C3%A9-Y-T%C3%A9-316097707711/</t>
  </si>
  <si>
    <t xml:space="preserve">Mon 09:00-18:00; Tu 09:00-18:00; Wed 09:00-18:00; Thu 09:00-18:00; Fri 09:00-18:00; Sat 09:00-18:00</t>
  </si>
  <si>
    <t xml:space="preserve">Café Y Té 
ที่อยู่ 30 ถนน ภูเก็ต ตำบล ตลาดใหญ่ อำเภอเมืองภูเก็ต ภูเก็ต 83000</t>
  </si>
  <si>
    <t xml:space="preserve">https://thailandtourismdirectory.go.th/th/restaurants/90898</t>
  </si>
  <si>
    <t xml:space="preserve">https://files.thailandtourismdirectory.go.th/assets/upload/2018/11/05/20181105c4ca4238a0b923820dcc509a6f75849b125010.jpg</t>
  </si>
  <si>
    <t xml:space="preserve">Cake Box The Terminal Maya Hotel</t>
  </si>
  <si>
    <t xml:space="preserve">ภก.4027 ตำบล สาคู อำเภอ ถลาง ภูเก็ต 83110</t>
  </si>
  <si>
    <t xml:space="preserve">076-328-518 </t>
  </si>
  <si>
    <t xml:space="preserve">https://www.facebook.com/Cake-Box-the-Terminal-835833663227189/</t>
  </si>
  <si>
    <t xml:space="preserve">Mon 07:00-23:00; Tu 07:00-23:00; Wed 07:00-23:00; Thu 07:00-23:00; Fri 07:00-23:00; Sat 07:00-23:00; Sun 07:00-23:00</t>
  </si>
  <si>
    <t xml:space="preserve">Cake Box The Terminal Maya Hotel 
ที่อยู่ ภก.4027 ตำบล สาคู อำเภอ ถลาง ภูเก็ต 83110</t>
  </si>
  <si>
    <t xml:space="preserve">https://thailandtourismdirectory.go.th/th/restaurants/91407</t>
  </si>
  <si>
    <t xml:space="preserve">https://files.thailandtourismdirectory.go.th/assets/upload/2018/11/12/20181112c4ca4238a0b923820dcc509a6f75849b095358.jpg</t>
  </si>
  <si>
    <t xml:space="preserve">Campus Coffee Roaster</t>
  </si>
  <si>
    <t xml:space="preserve">4 ถนน กระบี่ ตำบล ตลาดเหนือ อำเภอเมืองภูเก็ต ภูเก็ต 83000</t>
  </si>
  <si>
    <t xml:space="preserve">092 218 9292</t>
  </si>
  <si>
    <t xml:space="preserve">https://www.facebook.com/campuscoffeeroaster/</t>
  </si>
  <si>
    <t xml:space="preserve">Mon 07:30-18:00; Tu 07:30-18:00; Wed 07:30-18:00; Thu 07:30-18:00; Fri 07:30-18:00; Sat 07:30-18:00; Sun 07:30-18:00</t>
  </si>
  <si>
    <t xml:space="preserve">Campus Coffee Roaster 
ที่อยู่ 4 ถนน กระบี่ ตำบล ตลาดเหนือ อำเภอเมืองภูเก็ต ภูเก็ต 83000</t>
  </si>
  <si>
    <t xml:space="preserve">https://thailandtourismdirectory.go.th/th/restaurants/91789</t>
  </si>
  <si>
    <t xml:space="preserve">https://files.thailandtourismdirectory.go.th/assets/upload/2018/11/14/20181114c4ca4238a0b923820dcc509a6f75849b143949.jpg</t>
  </si>
  <si>
    <t xml:space="preserve">Capannina (คาพานีน่า)</t>
  </si>
  <si>
    <t xml:space="preserve">98/41 ถนน ปฏัก ตำบล กะรน อำเภอเมืองภูเก็ต ภูเก็ต 83100</t>
  </si>
  <si>
    <t xml:space="preserve">กะรน</t>
  </si>
  <si>
    <t xml:space="preserve">076 284 318</t>
  </si>
  <si>
    <t xml:space="preserve">https://www.facebook.com/Capannina-by-Limoncello-Phuket-473602296091701/</t>
  </si>
  <si>
    <t xml:space="preserve">Capannina (คาพานีน่า) 
ที่อยู่ 98/41 ถนน ปฏัก ตำบล กะรน อำเภอเมืองภูเก็ต ภูเก็ต 83100</t>
  </si>
  <si>
    <t xml:space="preserve">https://thailandtourismdirectory.go.th/th/restaurants/91319</t>
  </si>
  <si>
    <t xml:space="preserve">https://files.thailandtourismdirectory.go.th/assets/upload/2018/11/09/20181109c4ca4238a0b923820dcc509a6f75849b100413.jpg</t>
  </si>
  <si>
    <t xml:space="preserve">Carambola Cafe</t>
  </si>
  <si>
    <t xml:space="preserve">อาหารไทย, คาเฟ่</t>
  </si>
  <si>
    <t xml:space="preserve">46/14 ถนน แม่หลวน ตำบล รัษฎา อำเภอเมืองภูเก็ต ภูเก็ต 83000</t>
  </si>
  <si>
    <t xml:space="preserve">089 684 3379</t>
  </si>
  <si>
    <t xml:space="preserve">https://www.facebook.com/Carambola-cafe-114896995542561/</t>
  </si>
  <si>
    <t xml:space="preserve">Carambola Café
ที่อยู่ 46/14 ถนน แม่หลวน ตำบล รัษฎา อำเภอเมืองภูเก็ต ภูเก็ต 83000</t>
  </si>
  <si>
    <t xml:space="preserve">https://thailandtourismdirectory.go.th/th/restaurants/90820</t>
  </si>
  <si>
    <t xml:space="preserve">https://files.thailandtourismdirectory.go.th/assets/upload/2018/11/01/20181101c4ca4238a0b923820dcc509a6f75849b150544.jpg</t>
  </si>
  <si>
    <t xml:space="preserve">Chain Of Love</t>
  </si>
  <si>
    <t xml:space="preserve">เบเกอรี/เค้ก, อาหารไทย</t>
  </si>
  <si>
    <t xml:space="preserve">456 ซอย ศรีสุชาติ 1 ตำบล รัษฎา อำเภอเมืองภูเก็ต ภูเก็ต 83000</t>
  </si>
  <si>
    <t xml:space="preserve">081 829 2384</t>
  </si>
  <si>
    <t xml:space="preserve">https://www.facebook.com/chainoflovephuket/</t>
  </si>
  <si>
    <t xml:space="preserve">Mon 12:00-23:00; Tu 12:00-23:00; Wed 12:00-23:00; Thu 12:00-23:00; Fri 12:00-23:00; Sat 12:00-23:00; Sun 12:00-23:00</t>
  </si>
  <si>
    <t xml:space="preserve">Chain Of Love
ที่อยู่ 456 ซอย ศรีสุชาติ 1 ตำบล รัษฎา อำเภอเมืองภูเก็ต ภูเก็ต 83000</t>
  </si>
  <si>
    <t xml:space="preserve">https://thailandtourismdirectory.go.th/th/restaurants/90924</t>
  </si>
  <si>
    <t xml:space="preserve">https://files.thailandtourismdirectory.go.th/assets/upload/2018/11/05/20181105c4ca4238a0b923820dcc509a6f75849b144553.jpg</t>
  </si>
  <si>
    <t xml:space="preserve">Chateau Cafe &amp; Restaurant</t>
  </si>
  <si>
    <t xml:space="preserve">ร้านกาแฟ/ชา, อาหารไทย, คาเฟ่</t>
  </si>
  <si>
    <t xml:space="preserve">40 Prachasamakhee Rd, ตำบล รัษฎา อำเภอเมืองภูเก็ต ภูเก็ต 83000</t>
  </si>
  <si>
    <t xml:space="preserve">089-554-8450</t>
  </si>
  <si>
    <t xml:space="preserve">https://www.facebook.com/chateauphuket/</t>
  </si>
  <si>
    <t xml:space="preserve">Tu 09:30-20:00; Wed 09:30-20:00; Thu 09:30-20:00; Fri 09:30-20:00; Sat 09:30-20:00; Sun 09:30-20:00</t>
  </si>
  <si>
    <t xml:space="preserve">Chateau Cafe &amp; Restaurant
ที่อยู่ 40 Prachasamakhee Rd, ตำบล รัษฎา อำเภอเมืองภูเก็ต ภูเก็ต 83000</t>
  </si>
  <si>
    <t xml:space="preserve">https://thailandtourismdirectory.go.th/th/restaurants/91410</t>
  </si>
  <si>
    <t xml:space="preserve">https://files.thailandtourismdirectory.go.th/assets/upload/2018/11/12/20181112c4ca4238a0b923820dcc509a6f75849b101137.jpg</t>
  </si>
  <si>
    <t xml:space="preserve">Chino Cafe Gallery</t>
  </si>
  <si>
    <t xml:space="preserve">ร้านกาแฟ/ชา, อาหารเช้า, เครื่องดื่ม/น้ำผลไม้/ชานมไข่มุก</t>
  </si>
  <si>
    <t xml:space="preserve">6 ถนน ถลาง ตำบล ตลาดเหนือ อำเภอเมืองภูเก็ต ภูเก็ต 83000</t>
  </si>
  <si>
    <t xml:space="preserve">081 979 6190</t>
  </si>
  <si>
    <t xml:space="preserve">https://www.facebook.com/ChinoCafeGallery/</t>
  </si>
  <si>
    <t xml:space="preserve">Mon 08:30-19:00; Tu 08:30-19:00; Wed 08:30-19:00; Thu 08:30-19:00; Fri 08:30-19:00; Sat 08:30-19:00; Sun 08:30-19:00</t>
  </si>
  <si>
    <t xml:space="preserve">Chino Cafe Gallery
ที่อยู่ 6 ถนน ถลาง ตำบล ตลาดเหนือ อำเภอเมืองภูเก็ต ภูเก็ต 83000</t>
  </si>
  <si>
    <t xml:space="preserve">https://thailandtourismdirectory.go.th/th/restaurants/91387</t>
  </si>
  <si>
    <t xml:space="preserve">https://files.thailandtourismdirectory.go.th/assets/upload/2018/11/09/20181109c4ca4238a0b923820dcc509a6f75849b151905.jpg</t>
  </si>
  <si>
    <t xml:space="preserve">Chou Chou Deli And Bistro</t>
  </si>
  <si>
    <t xml:space="preserve">เบเกอรี/เค้ก</t>
  </si>
  <si>
    <t xml:space="preserve">https://www.facebook.com/chouchouphuket/</t>
  </si>
  <si>
    <t xml:space="preserve">Mon 10:00-20:00; Tu 10:00-20:00; Wed 10:00-20:00; Thu 10:00-20:00; Fri 10:00-20:00; Sat 10:00-20:00; Sun 10:00-20:00</t>
  </si>
  <si>
    <t xml:space="preserve">Chou Chou Deli And Bistro 
ที่อยู่ 227/2 ถนน ราษฏร์อุทิศ 200 ปี ตำบลป่าตอง อำเภอ กะทู้ ภูเก็ต 83150</t>
  </si>
  <si>
    <t xml:space="preserve">https://thailandtourismdirectory.go.th/th/restaurants/92978</t>
  </si>
  <si>
    <t xml:space="preserve">https://files.thailandtourismdirectory.go.th/assets/upload/2018/11/19/20181119c4ca4238a0b923820dcc509a6f75849b101336.jpg</t>
  </si>
  <si>
    <t xml:space="preserve">Churrasco Phuket</t>
  </si>
  <si>
    <t xml:space="preserve">สเต๊ก, อาหารนานาชาติ</t>
  </si>
  <si>
    <t xml:space="preserve">171 ซอย แสนสบาย ตำบลป่าตอง อำเภอ กะทู้ ภูเก็ต 83150</t>
  </si>
  <si>
    <t xml:space="preserve">076 366 723</t>
  </si>
  <si>
    <t xml:space="preserve">https://www.facebook.com/phuketsteakhouse/</t>
  </si>
  <si>
    <t xml:space="preserve">Mon 10:00-22:00; Tu 10:00-22:00; Wed 10:00-22:00; Thu 10:00-22:00; Fri 10:00-22:00; Sat 10:00-22:00; Sun 10:00-22:00</t>
  </si>
  <si>
    <t xml:space="preserve">Churrasco Phuket
ที่อยู่ 171 ซอย แสนสบาย ตำบลป่าตอง อำเภอ กะทู้ ภูเก็ต 83150</t>
  </si>
  <si>
    <t xml:space="preserve">https://thailandtourismdirectory.go.th/th/restaurants/91969</t>
  </si>
  <si>
    <t xml:space="preserve">https://files.thailandtourismdirectory.go.th/assets/upload/2018/11/15/20181115c4ca4238a0b923820dcc509a6f75849b135041.jpg</t>
  </si>
  <si>
    <t xml:space="preserve">Clear 85 Shabu&amp;Coffee</t>
  </si>
  <si>
    <t xml:space="preserve">ชาบู/สุกี้ยากี้/หม้อไฟ</t>
  </si>
  <si>
    <t xml:space="preserve">34133 ซอย หมื่นศรี ตำบล รัษฎา อำเภอเมืองภูเก็ต ภูเก็ต 83000</t>
  </si>
  <si>
    <t xml:space="preserve">080 538 4913</t>
  </si>
  <si>
    <t xml:space="preserve">https://www.facebook.com/clear85shabu/</t>
  </si>
  <si>
    <t xml:space="preserve">Mon 11:00-21:30; Tu 11:00-21:30; Wed 11:00-21:30; Thu 11:00-21:30; Fri 11:00-21:30; Sat 11:00-21:30; Sun 11:00-21:30</t>
  </si>
  <si>
    <t xml:space="preserve">Clear 85 Shabu&amp;Coffee 
ที่อยู่ 34133 ซอย หมื่นศรี ตำบล รัษฎา อำเภอเมืองภูเก็ต ภูเก็ต 83000</t>
  </si>
  <si>
    <t xml:space="preserve">https://thailandtourismdirectory.go.th/th/restaurants/90942</t>
  </si>
  <si>
    <t xml:space="preserve">https://files.thailandtourismdirectory.go.th/assets/upload/2018/11/05/20181105c4ca4238a0b923820dcc509a6f75849b160502.jpg</t>
  </si>
  <si>
    <t xml:space="preserve">Coff Cake</t>
  </si>
  <si>
    <t xml:space="preserve">ถนนเหมืองเจ้าฟ้า ตำบล กะทู้ อำเภอ กะทู้ ภูเก็ต</t>
  </si>
  <si>
    <t xml:space="preserve">0856876168</t>
  </si>
  <si>
    <t xml:space="preserve">https://www.facebook.com/Coff-Cake-1129555770405001/</t>
  </si>
  <si>
    <t xml:space="preserve">Coff Cake 
ที่อยู่ ถนนเหมืองเจ้าฟ้า ตำบล กะทู้ อำเภอ กะทู้ ภูเก็ต</t>
  </si>
  <si>
    <t xml:space="preserve">https://thailandtourismdirectory.go.th/th/restaurants/91284</t>
  </si>
  <si>
    <t xml:space="preserve">https://files.thailandtourismdirectory.go.th/assets/upload/2018/11/08/20181108c4ca4238a0b923820dcc509a6f75849b142717.jpg</t>
  </si>
  <si>
    <t xml:space="preserve">Coffee Brick</t>
  </si>
  <si>
    <t xml:space="preserve">27 ถนน เจ้าฟ้าตะวันตก ตำบล ฉลอง อำเภอเมืองภูเก็ต ภูเก็ต 83000</t>
  </si>
  <si>
    <t xml:space="preserve">ฉลอง</t>
  </si>
  <si>
    <t xml:space="preserve">083 777 4747</t>
  </si>
  <si>
    <t xml:space="preserve">https://www.facebook.com/coffee.brick/</t>
  </si>
  <si>
    <t xml:space="preserve">Coffee Brick 
ที่อยู่ 27 ถนน เจ้าฟ้าตะวันตก ตำบล ฉลอง อำเภอเมืองภูเก็ต ภูเก็ต 83000</t>
  </si>
  <si>
    <t xml:space="preserve">https://thailandtourismdirectory.go.th/th/restaurants/90822</t>
  </si>
  <si>
    <t xml:space="preserve">https://files.thailandtourismdirectory.go.th/assets/upload/2018/11/01/20181101c4ca4238a0b923820dcc509a6f75849b151806.jpg</t>
  </si>
  <si>
    <t xml:space="preserve">Coffee talk</t>
  </si>
  <si>
    <t xml:space="preserve">เบเกอรี/เค้ก, คาเฟ่</t>
  </si>
  <si>
    <t xml:space="preserve">4233 ตำบล กะรน อำเภอเมืองภูเก็ต ภูเก็ต 83100</t>
  </si>
  <si>
    <t xml:space="preserve">076 396 654</t>
  </si>
  <si>
    <t xml:space="preserve">https://www.facebook.com/ciaobistrophuket/</t>
  </si>
  <si>
    <t xml:space="preserve">Mon 09:00-22:00; Tu 09:00-22:00; Wed 09:00-22:00; Thu 09:00-22:00; Fri 09:00-22:00; Sat 09:00-22:00; Sun 09:00-22:00</t>
  </si>
  <si>
    <t xml:space="preserve">Coffee talk
ที่อยู่ 4233 ตำบล กะรน อำเภอเมืองภูเก็ต ภูเก็ต 83100</t>
  </si>
  <si>
    <t xml:space="preserve">https://thailandtourismdirectory.go.th/th/restaurants/90893</t>
  </si>
  <si>
    <t xml:space="preserve">https://files.thailandtourismdirectory.go.th/assets/upload/2018/11/05/20181105c4ca4238a0b923820dcc509a6f75849b122552.jpg</t>
  </si>
  <si>
    <t xml:space="preserve">Comics Cafe &amp; bar</t>
  </si>
  <si>
    <t xml:space="preserve">ถนน พังงา ตำบล ตลาดใหญ่ อำเภอเมืองภูเก็ต ภูเก็ต 83000</t>
  </si>
  <si>
    <t xml:space="preserve">086-662-7766 </t>
  </si>
  <si>
    <t xml:space="preserve">https://www.facebook.com/comicsbarphuket/</t>
  </si>
  <si>
    <t xml:space="preserve">Sun 18:00-23:59; Mon 00:00-01:00; Mon 18:00-23:59; Tu 00:00-01:00; Tu 18:00-23:59; Wed 00:00-01:00; Wed 18:00-23:59; Thu 00:00-01:00; Thu 18:00-23:59; Fri 00:00-01:00; Fri 18:00-23:59; Sat 00:00-01:00; Sat 18:00-23:59; Sun 00:00-01:00</t>
  </si>
  <si>
    <t xml:space="preserve">Comics Cafe &amp; bar 
ที่อยู่ ถนน พังงา ตำบล ตลาดใหญ่ อำเภอเมืองภูเก็ต ภูเก็ต 83000</t>
  </si>
  <si>
    <t xml:space="preserve">https://thailandtourismdirectory.go.th/th/restaurants/90932</t>
  </si>
  <si>
    <t xml:space="preserve">https://files.thailandtourismdirectory.go.th/assets/upload/2018/11/05/20181105c4ca4238a0b923820dcc509a6f75849b152258.jpg</t>
  </si>
  <si>
    <t xml:space="preserve">Coral Cafe</t>
  </si>
  <si>
    <t xml:space="preserve">Unnamed Road, ตำบล ไม้ขาว อำเภอ ถลาง ภูเก็ต 83110</t>
  </si>
  <si>
    <t xml:space="preserve">076-351-703 </t>
  </si>
  <si>
    <t xml:space="preserve">https://www.facebook.com/coralcafethailand/</t>
  </si>
  <si>
    <t xml:space="preserve">Mon 06:00-22:00; Tu 06:00-22:00; Wed 06:00-22:00; Thu 06:00-22:00; Fri 06:00-22:00; Sat 06:00-22:00; Sun 06:00-22:00</t>
  </si>
  <si>
    <t xml:space="preserve">Coral Café
ที่อยู่ Unnamed Road, ตำบล ไม้ขาว อำเภอ ถลาง ภูเก็ต 83110</t>
  </si>
  <si>
    <t xml:space="preserve">https://thailandtourismdirectory.go.th/th/restaurants/90868</t>
  </si>
  <si>
    <t xml:space="preserve">https://files.thailandtourismdirectory.go.th/assets/upload/2018/11/02/20181102c4ca4238a0b923820dcc509a6f75849b150815.jpg</t>
  </si>
  <si>
    <t xml:space="preserve">Crepe is Crepe Phuket</t>
  </si>
  <si>
    <t xml:space="preserve">69 ถนนเยาวราช ตำบล ตลาดเหนือ อำเภอเมืองภูเก็ต ภูเก็ต 83000</t>
  </si>
  <si>
    <t xml:space="preserve">076 689 599</t>
  </si>
  <si>
    <t xml:space="preserve">https://www.facebook.com/Crepeiscrepe.phuket/</t>
  </si>
  <si>
    <t xml:space="preserve">Crepe is Crepe Phuket
ที่อยู่ 69 ถนนเยาวราช ตำบล ตลาดเหนือ อำเภอเมืองภูเก็ต ภูเก็ต 83000</t>
  </si>
  <si>
    <t xml:space="preserve">https://thailandtourismdirectory.go.th/th/restaurants/91212</t>
  </si>
  <si>
    <t xml:space="preserve">https://files.thailandtourismdirectory.go.th/assets/upload/2018/11/07/20181107c4ca4238a0b923820dcc509a6f75849b155054.jpg</t>
  </si>
  <si>
    <t xml:space="preserve">Crust (ครัสท์)</t>
  </si>
  <si>
    <t xml:space="preserve">ร้านกาแฟ/ชา, เบเกอรี/เค้ก, อาหารนานาชาติ</t>
  </si>
  <si>
    <t xml:space="preserve">ถนน บางใหญ่ ตำบล รัษฎา อำเภอเมืองภูเก็ต ภูเก็ต 83000</t>
  </si>
  <si>
    <t xml:space="preserve">093 763 0318</t>
  </si>
  <si>
    <t xml:space="preserve">https://www.facebook.com/crustphuket/</t>
  </si>
  <si>
    <t xml:space="preserve">Sun 17:00-22:00; Mon 11:00-15:00; Mon 17:00-22:00; Tu 11:00-15:00; Tu 17:00-22:00; Thu 16:30-22:00; Fri 11:00-15:00; Fri 17:00-22:00; Sat 11:00-15:00; Sat 17:00-22:00; Sun 11:00-15:00</t>
  </si>
  <si>
    <t xml:space="preserve">Crust (ครัสท์) 
ที่อยู่ ถนน บางใหญ่ ตำบล รัษฎา อำเภอเมืองภูเก็ต ภูเก็ต 83000</t>
  </si>
  <si>
    <t xml:space="preserve">https://thailandtourismdirectory.go.th/th/restaurants/91131</t>
  </si>
  <si>
    <t xml:space="preserve">https://files.thailandtourismdirectory.go.th/assets/upload/2018/11/07/20181107c4ca4238a0b923820dcc509a6f75849b094257.jpg</t>
  </si>
  <si>
    <t xml:space="preserve">D Veggie Salad bar (ดีเวจจี้สลัดบาร์)</t>
  </si>
  <si>
    <t xml:space="preserve">เครื่องดื่ม/น้ำผลไม้/ชานมไข่มุก, อาหารคลีน/สลัด</t>
  </si>
  <si>
    <t xml:space="preserve">093 597 4249</t>
  </si>
  <si>
    <t xml:space="preserve">https://www.facebook.com/dveggiesalad/</t>
  </si>
  <si>
    <t xml:space="preserve">Mon 11:00-21:00; Tu 11:00-21:00; Wed 11:00-21:00; Thu 11:00-21:00; Fri 11:00-21:00; Sat 11:00-21:00</t>
  </si>
  <si>
    <t xml:space="preserve">D Veggie Salad bar (ดีเวจจี้สลัดบาร์) 
3 ถนน ทุ่งคา ตำบล ตลาดเหนือ อำเภอเมืองภูเก็ต ภูเก็ต 83000</t>
  </si>
  <si>
    <t xml:space="preserve">https://thailandtourismdirectory.go.th/th/restaurants/91421</t>
  </si>
  <si>
    <t xml:space="preserve">https://files.thailandtourismdirectory.go.th/assets/upload/2018/11/12/20181112c4ca4238a0b923820dcc509a6f75849b125053.jpg</t>
  </si>
  <si>
    <t xml:space="preserve">D wine | Italian Bistro &amp; Wine Bar</t>
  </si>
  <si>
    <t xml:space="preserve">แสบสบายซอย 2 ตำบลป่าตอง อำเภอ กะทู้ ภูเก็ต 83150</t>
  </si>
  <si>
    <t xml:space="preserve">076 604 288</t>
  </si>
  <si>
    <t xml:space="preserve">https://www.facebook.com/DWineitalianbistroandwinebar/</t>
  </si>
  <si>
    <t xml:space="preserve">Mon 10:00-23:00; Tu 10:00-23:00; Wed 10:00-23:00; Thu 10:00-23:00; Fri 10:00-23:00; Sat 10:00-23:00; Sun 10:00-23:00</t>
  </si>
  <si>
    <t xml:space="preserve">D wine | Italian Bistro &amp; Wine Bar 
ที่อยู่ แสบสบายซอย 2 ตำบลป่าตอง อำเภอ กะทู้ ภูเก็ต 83150</t>
  </si>
  <si>
    <t xml:space="preserve">https://thailandtourismdirectory.go.th/th/restaurants/92106</t>
  </si>
  <si>
    <t xml:space="preserve">https://files.thailandtourismdirectory.go.th/assets/upload/2018/11/16/20181116c4ca4238a0b923820dcc509a6f75849b141007.jpg</t>
  </si>
  <si>
    <t xml:space="preserve">DIBUKA Cafe &amp; Restaurant</t>
  </si>
  <si>
    <t xml:space="preserve">กึ่งผับ/ร้านเหล้า/บาร์, อาหารฟิวชั่น</t>
  </si>
  <si>
    <t xml:space="preserve">2 ถนน ดีบุก ตำบล ตลาดใหญ่ อำเภอเมืองภูเก็ต ภูเก็ต 83000</t>
  </si>
  <si>
    <t xml:space="preserve">076 606 666</t>
  </si>
  <si>
    <t xml:space="preserve">https://www.facebook.com/Dibukaphuket/</t>
  </si>
  <si>
    <t xml:space="preserve">Sun 17:30-23:59; Mon 00:00-01:00; Mon 17:30-23:59; Tu 00:00-01:00; Tu 17:30-23:59; Wed 00:00-01:00; Wed 17:30-23:59; Thu 00:00-01:00; Thu 17:30-23:59; Fri 00:00-01:00; Fri 17:30-23:59; Sat 00:00-01:00; Sat 17:30-23:59; Sun 00:00-01:00</t>
  </si>
  <si>
    <t xml:space="preserve">DIBUKA Cafe &amp; Restaurant 
ที่อยู่ 2 ถนน ดีบุก ตำบล ตลาดใหญ่ อำเภอเมืองภูเก็ต ภูเก็ต 83000</t>
  </si>
  <si>
    <t xml:space="preserve">https://thailandtourismdirectory.go.th/th/restaurants/90885</t>
  </si>
  <si>
    <t xml:space="preserve">https://files.thailandtourismdirectory.go.th/assets/upload/2018/11/05/20181105c4ca4238a0b923820dcc509a6f75849b105746.jpg</t>
  </si>
  <si>
    <t xml:space="preserve">DOO CAT CAFE Phuket</t>
  </si>
  <si>
    <t xml:space="preserve">063 309 8884</t>
  </si>
  <si>
    <t xml:space="preserve">https://www.facebook.com/doocatcafe/</t>
  </si>
  <si>
    <t xml:space="preserve">Mon 10:00-19:00; Tu 10:00-19:00; Wed 10:00-19:00; Thu 10:00-19:00; Fri 10:00-19:00; Sat 10:00-19:00; Sun 10:00-19:00</t>
  </si>
  <si>
    <t xml:space="preserve">DOO CAT CAFE Phuket 
ที่อยู่ 4233 ตำบล ราไวย์ อำเภอเมืองภูเก็ต ภูเก็ต 83100</t>
  </si>
  <si>
    <t xml:space="preserve">https://thailandtourismdirectory.go.th/th/restaurants/92084</t>
  </si>
  <si>
    <t xml:space="preserve">https://files.thailandtourismdirectory.go.th/assets/upload/2018/11/16/20181116c4ca4238a0b923820dcc509a6f75849b100523.jpg</t>
  </si>
  <si>
    <t xml:space="preserve">Da Sandro Restaurant (ตราโตเรียดาซันโต้)</t>
  </si>
  <si>
    <t xml:space="preserve">อาหารเม็กซิกัน</t>
  </si>
  <si>
    <t xml:space="preserve">ถนนเจ้าฟ้า ตำบล ฉลอง อำเภอเมืองภูเก็ต ภูเก็ต 83000</t>
  </si>
  <si>
    <t xml:space="preserve">081 569 7781</t>
  </si>
  <si>
    <t xml:space="preserve">https://www.facebook.com/dasandrophuket/</t>
  </si>
  <si>
    <t xml:space="preserve">Mon 15:30-23:30; Tu 15:30-23:30; Wed 15:30-23:30; Thu 15:30-23:30; Fri 15:30-23:30; Sat 15:30-23:30; Sun 15:30-23:30</t>
  </si>
  <si>
    <t xml:space="preserve">Da Sandro Restaurant (ตราโตเรียดาซันโต้) 
ที่อยู่ ถนนเจ้าฟ้า ตำบล ฉลอง อำเภอเมืองภูเก็ต ภูเก็ต 83000</t>
  </si>
  <si>
    <t xml:space="preserve">https://thailandtourismdirectory.go.th/th/restaurants/92094</t>
  </si>
  <si>
    <t xml:space="preserve">https://files.thailandtourismdirectory.go.th/assets/upload/2018/11/16/20181116c4ca4238a0b923820dcc509a6f75849b111139.jpg</t>
  </si>
  <si>
    <t xml:space="preserve">Dcafe (ดีคาเฟ่)</t>
  </si>
  <si>
    <t xml:space="preserve">อาหารไทย, เครื่องดื่ม/น้ำผลไม้/ชานมไข่มุก, อาหารฟิวชั่น</t>
  </si>
  <si>
    <t xml:space="preserve">ถนนวิชิตสงคราม ตำบล กะทู้ อำเภอ กะทู้ ภูเก็ต 83120</t>
  </si>
  <si>
    <t xml:space="preserve">087 263 6943</t>
  </si>
  <si>
    <t xml:space="preserve">https://www.facebook.com/D-cafe-749079495134971/</t>
  </si>
  <si>
    <t xml:space="preserve">Mon 08:00-20:00; Tu 08:00-20:00; Wed 08:00-20:00; Thu 08:00-20:00; Fri 08:00-20:00; Sat 08:00-20:00; Sun 08:00-20:00</t>
  </si>
  <si>
    <t xml:space="preserve">Dcafe (ดีคาเฟ่) 
ที่อยู่ ถนนวิชิตสงคราม ตำบล กะทู้ อำเภอ กะทู้ ภูเก็ต 83120</t>
  </si>
  <si>
    <t xml:space="preserve">https://thailandtourismdirectory.go.th/th/restaurants/91798</t>
  </si>
  <si>
    <t xml:space="preserve">https://files.thailandtourismdirectory.go.th/assets/upload/2018/11/14/20181114c4ca4238a0b923820dcc509a6f75849b150954.jpg</t>
  </si>
  <si>
    <t xml:space="preserve">Dok Bua Vegetarian Restaurant</t>
  </si>
  <si>
    <t xml:space="preserve">อาหารมังสวิรัติ</t>
  </si>
  <si>
    <t xml:space="preserve">2 ซอย ราชพฤกษ์ ตำบล ตลาดใหญ่ อำเภอเมืองภูเก็ต ภูเก็ต 83000</t>
  </si>
  <si>
    <t xml:space="preserve">076 211 985</t>
  </si>
  <si>
    <t xml:space="preserve">https://www.facebook.com/DokbuaVegetarian/</t>
  </si>
  <si>
    <t xml:space="preserve">Mon 10:30-20:30; Tu 10:30-20:30; Wed 10:30-20:30; Thu 10:30-20:30; Fri 10:30-20:30; Sat 10:30-20:30</t>
  </si>
  <si>
    <t xml:space="preserve">Dok Bua Vegetarian Restaurant 
ที่อยู่ 2 ซอย ราชพฤกษ์ ตำบล ตลาดใหญ่ อำเภอเมืองภูเก็ต ภูเก็ต 83000</t>
  </si>
  <si>
    <t xml:space="preserve">https://thailandtourismdirectory.go.th/th/restaurants/91316</t>
  </si>
  <si>
    <t xml:space="preserve">https://files.thailandtourismdirectory.go.th/assets/upload/2018/11/09/201811092ba010e9cc5845c3609c019920d0b0dc094458.png</t>
  </si>
  <si>
    <t xml:space="preserve">Dou Brew Coffee &amp; Craft</t>
  </si>
  <si>
    <t xml:space="preserve">19 ซอย รมณีย์ ตำบล ตลาดใหญ่ อำเภอเมืองภูเก็ต ภูเก็ต 83000</t>
  </si>
  <si>
    <t xml:space="preserve">091 825 2435</t>
  </si>
  <si>
    <t xml:space="preserve">https://www.facebook.com/DouBrewCoffee/</t>
  </si>
  <si>
    <t xml:space="preserve">Mon 08:00-18:00; Tu 08:00-18:00; Wed 08:00-18:00; Thu 08:00-18:00; Fri 08:00-18:00; Sat 08:00-18:00; Sun 08:00-18:00</t>
  </si>
  <si>
    <t xml:space="preserve">Dou Brew Coffee &amp; Craft 
ที่อยู่ 19 ซอย รมณีย์ ตำบล ตลาดใหญ่ อำเภอเมืองภูเก็ต ภูเก็ต 83000</t>
  </si>
  <si>
    <t xml:space="preserve">https://thailandtourismdirectory.go.th/th/restaurants/91483</t>
  </si>
  <si>
    <t xml:space="preserve">https://files.thailandtourismdirectory.go.th/assets/upload/2018/11/13/20181113c4ca4238a0b923820dcc509a6f75849b145253.jpg</t>
  </si>
  <si>
    <t xml:space="preserve">Duang Restaurant (ดวง)</t>
  </si>
  <si>
    <t xml:space="preserve">อาหารไทย, อาหารใต้</t>
  </si>
  <si>
    <t xml:space="preserve">ตำบล กะทู้ อำเภอ กะทู้ ภูเก็ต 83120</t>
  </si>
  <si>
    <t xml:space="preserve">081-719-7191</t>
  </si>
  <si>
    <t xml:space="preserve">https://www.facebook.com/apisak2/</t>
  </si>
  <si>
    <t xml:space="preserve">Mon 10:30-22:00; Tu 10:30-22:00; Wed 10:30-22:00; Thu 10:30-22:00; Fri 10:30-22:00; Sat 10:30-22:00; Sun 10:30-22:00</t>
  </si>
  <si>
    <t xml:space="preserve">Duang Restaurant (ดวง)
ที่อยู่ ภก.3030 ตำบล กะทู้ อำเภอ กะทู้ ภูเก็ต 83120</t>
  </si>
  <si>
    <t xml:space="preserve">https://thailandtourismdirectory.go.th/th/restaurants/91202</t>
  </si>
  <si>
    <t xml:space="preserve">https://files.thailandtourismdirectory.go.th/assets/upload/2018/11/07/20181107c4ca4238a0b923820dcc509a6f75849b150817.jpg</t>
  </si>
  <si>
    <t xml:space="preserve">Duca'tim Phuket</t>
  </si>
  <si>
    <t xml:space="preserve">ไอศกรีม</t>
  </si>
  <si>
    <t xml:space="preserve">0987370048</t>
  </si>
  <si>
    <t xml:space="preserve">https://www.facebook.com/Ducatim-Phuket-405569113238867/</t>
  </si>
  <si>
    <t xml:space="preserve">Duca'tim Phuket
ที่อยู่ ถนน บางใหญ่ ตำบล รัษฎา อำเภอเมืองภูเก็ต ภูเก็ต 83000</t>
  </si>
  <si>
    <t xml:space="preserve">https://thailandtourismdirectory.go.th/th/restaurants/92086</t>
  </si>
  <si>
    <t xml:space="preserve">https://files.thailandtourismdirectory.go.th/assets/upload/2018/11/16/20181116c4ca4238a0b923820dcc509a6f75849b102355.jpg</t>
  </si>
  <si>
    <t xml:space="preserve">ELLA Bar &amp; Bistro</t>
  </si>
  <si>
    <t xml:space="preserve">ร้านกาแฟ/ชา, อาหารเช้า, อาหารฟิวชั่น</t>
  </si>
  <si>
    <t xml:space="preserve">104 / 17-18 ซอย ไปรษณีย์ ถนน ทวีวงศ์ ตำบลป่าตอง อำเภอ กะทู้ ภูเก็ต 83150</t>
  </si>
  <si>
    <t xml:space="preserve">089 199 1663</t>
  </si>
  <si>
    <t xml:space="preserve">https://www.facebook.com/EllaBistro/</t>
  </si>
  <si>
    <t xml:space="preserve">Mon 09:00-23:59; Tu 09:00-23:59; Wed 09:00-23:59; Thu 09:00-23:59; Fri 09:00-23:59; Sat 09:00-23:59; Sun 09:00-23:59</t>
  </si>
  <si>
    <t xml:space="preserve">ELLA Bar &amp; Bistro 
ที่อยู่ 104 / 17-18 ซอย ไปรษณีย์ ถนน ทวีวงศ์ ตำบลป่าตอง อำเภอ กะทู้ ภูเก็ต 83150</t>
  </si>
  <si>
    <t xml:space="preserve">https://thailandtourismdirectory.go.th/th/restaurants/92979</t>
  </si>
  <si>
    <t xml:space="preserve">https://files.thailandtourismdirectory.go.th/assets/upload/2018/11/19/20181119c4ca4238a0b923820dcc509a6f75849b100834.jpg</t>
  </si>
  <si>
    <t xml:space="preserve">Eleven Two &amp; Co</t>
  </si>
  <si>
    <t xml:space="preserve">เบเกอรี/เค้ก, อาหารอิตาเลียน</t>
  </si>
  <si>
    <t xml:space="preserve">114 ถนน ถลาง ตำบล ตลาดใหญ่ อำเภอเมืองภูเก็ต ภูเก็ต 83000</t>
  </si>
  <si>
    <t xml:space="preserve">076 354 424</t>
  </si>
  <si>
    <t xml:space="preserve">https://www.facebook.com/eleventwoandco/</t>
  </si>
  <si>
    <t xml:space="preserve">Tu 10:00-22:00; Wed 10:00-22:00; Thu 10:00-22:00; Fri 10:00-22:00; Sat 10:00-22:00; Sun 10:00-22:00</t>
  </si>
  <si>
    <t xml:space="preserve">Eleven Two &amp; Co 
ที่อยู่ 114 ถนน ถลาง ตำบล ตลาดใหญ่ อำเภอเมืองภูเก็ต ภูเก็ต 83000</t>
  </si>
  <si>
    <t xml:space="preserve">https://thailandtourismdirectory.go.th/th/restaurants/91138</t>
  </si>
  <si>
    <t xml:space="preserve">https://files.thailandtourismdirectory.go.th/assets/upload/2018/11/07/20181107c4ca4238a0b923820dcc509a6f75849b100831.jpg</t>
  </si>
  <si>
    <t xml:space="preserve">Extra Steak</t>
  </si>
  <si>
    <t xml:space="preserve">สเต๊ก, อาหารจานเดียว/ตามสั่ง, อาหารกล่อง/ข้าวกล่อง เดลิเวอรี</t>
  </si>
  <si>
    <t xml:space="preserve">ถนน พูนผล ตำบล ตลาดเหนือ อำเภอเมืองภูเก็ต ภูเก็ต 83000</t>
  </si>
  <si>
    <t xml:space="preserve">094 071 7187</t>
  </si>
  <si>
    <t xml:space="preserve">https://www.facebook.com/extrasteaks/</t>
  </si>
  <si>
    <t xml:space="preserve">Mon 10:00-19:30; Tu 10:00-19:30; Wed 10:00-19:30; Thu 10:00-19:30; Fri 10:00-19:30; Sat 10:00-19:30; Sun 10:00-19:30</t>
  </si>
  <si>
    <t xml:space="preserve">Extra Steak
ที่อยู่ ถนน พูนผล ตำบล ตลาดเหนือ อำเภอเมืองภูเก็ต ภูเก็ต 83000</t>
  </si>
  <si>
    <t xml:space="preserve">https://thailandtourismdirectory.go.th/th/restaurants/91762</t>
  </si>
  <si>
    <t xml:space="preserve">https://files.thailandtourismdirectory.go.th/assets/upload/2018/11/14/20181114c4ca4238a0b923820dcc509a6f75849b105948.jpg</t>
  </si>
  <si>
    <t xml:space="preserve">FISH BAR &amp; Restaurant</t>
  </si>
  <si>
    <t xml:space="preserve">431 4233 ตำบล ราไวย์ อำเภอเมืองภูเก็ต ภูเก็ต 83100</t>
  </si>
  <si>
    <t xml:space="preserve">089 873 9967</t>
  </si>
  <si>
    <t xml:space="preserve">https://www.facebook.com/Fishbarphuket/</t>
  </si>
  <si>
    <t xml:space="preserve">Mon 11:00-23:59; Tu 11:00-23:59; Wed 11:00-23:59; Thu 11:00-23:59; Fri 11:00-23:59; Sat 11:00-23:59; Sun 11:00-23:59</t>
  </si>
  <si>
    <t xml:space="preserve">FISH BAR &amp; Restaurant
ที่อยู่ 431 4233 ตำบล ราไวย์ อำเภอเมืองภูเก็ต ภูเก็ต 83100</t>
  </si>
  <si>
    <t xml:space="preserve">https://thailandtourismdirectory.go.th/th/restaurants/91447</t>
  </si>
  <si>
    <t xml:space="preserve">https://files.thailandtourismdirectory.go.th/assets/upload/2018/11/13/20181113c4ca4238a0b923820dcc509a6f75849b111651.jpg</t>
  </si>
  <si>
    <t xml:space="preserve">Factory cafe (แฟคทอรี่ คาเฟ่)</t>
  </si>
  <si>
    <t xml:space="preserve">091 820 6900</t>
  </si>
  <si>
    <t xml:space="preserve">https://www.facebook.com/FactoryCafe/</t>
  </si>
  <si>
    <t xml:space="preserve">Mon 10:00-21:30; Tu 10:00-21:30; Wed 10:00-21:30; Thu 10:00-21:30; Fri 10:00-21:30; Sat 10:00-21:30; Sun 10:00-21:30</t>
  </si>
  <si>
    <t xml:space="preserve">Factory cafe (แฟคทอรี่ คาเฟ่) 
ที่อยู่ 51 ถนน สตูล ตำบล ตลาดเหนือ อำเภอเมืองภูเก็ต ภูเก็ต 83000</t>
  </si>
  <si>
    <t xml:space="preserve">https://thailandtourismdirectory.go.th/th/restaurants/90813</t>
  </si>
  <si>
    <t xml:space="preserve">https://files.thailandtourismdirectory.go.th/assets/upload/2018/11/01/20181101c4ca4238a0b923820dcc509a6f75849b143308.jpg</t>
  </si>
  <si>
    <t xml:space="preserve">Fit Bar Low Calorie Food &amp; Drink</t>
  </si>
  <si>
    <t xml:space="preserve">อาหารจานเดียว/ตามสั่ง, อาหารอิตาเลียน</t>
  </si>
  <si>
    <t xml:space="preserve">081 077 6600</t>
  </si>
  <si>
    <t xml:space="preserve">https://www.facebook.com/fitbarphuket/</t>
  </si>
  <si>
    <t xml:space="preserve">Fit Bar Low Calorie Food &amp; Drink 
ที่อยู่ 456 ซอย ศรีสุชาติ 1 ตำบล รัษฎา อำเภอเมืองภูเก็ต ภูเก็ต 83000</t>
  </si>
  <si>
    <t xml:space="preserve">https://thailandtourismdirectory.go.th/th/restaurants/91325</t>
  </si>
  <si>
    <t xml:space="preserve">https://files.thailandtourismdirectory.go.th/assets/upload/2018/11/09/20181109c4ca4238a0b923820dcc509a6f75849b102951.jpg</t>
  </si>
  <si>
    <t xml:space="preserve">Friends Cafe</t>
  </si>
  <si>
    <t xml:space="preserve">อาหารทะเล, อาหารไทย</t>
  </si>
  <si>
    <t xml:space="preserve">088 179 8262</t>
  </si>
  <si>
    <t xml:space="preserve">https://www.facebook.com/Friendskathuphuket/</t>
  </si>
  <si>
    <t xml:space="preserve">Sun 16:00-23:59; Mon 00:00-02:00; Mon 16:00-23:59; Tu 00:00-02:00; Tu 16:00-23:59; Wed 00:00-02:00; Wed 16:00-23:59; Thu 00:00-02:00; Thu 16:00-23:59; Fri 00:00-02:00; Fri 16:00-23:59; Sat 00:00-02:00; Sat 16:00-23:59; Sun 00:00-02:00</t>
  </si>
  <si>
    <t xml:space="preserve">Friends Cafe 
ที่อยู่ 4020 ตำบล กะทู้ อำเภอ กะทู้ ภูเก็ต 83120</t>
  </si>
  <si>
    <t xml:space="preserve">https://thailandtourismdirectory.go.th/th/restaurants/91932</t>
  </si>
  <si>
    <t xml:space="preserve">https://files.thailandtourismdirectory.go.th/assets/upload/2018/11/15/20181115c4ca4238a0b923820dcc509a6f75849b094710.jpg</t>
  </si>
  <si>
    <t xml:space="preserve">Fusion One</t>
  </si>
  <si>
    <t xml:space="preserve">ซอย เทพกระษัตรี ตำบล ไม้ขาว อำเภอ ถลาง ภูเก็ต 83110</t>
  </si>
  <si>
    <t xml:space="preserve">0979659919</t>
  </si>
  <si>
    <t xml:space="preserve">https://www.facebook.com/Fusion-One-Phuket-Airport-997045200482397/</t>
  </si>
  <si>
    <t xml:space="preserve">Mon 06:00-23:00; Tu 06:00-23:00; Wed 06:00-23:00; Thu 06:00-23:00; Fri 06:00-23:00; Sat 06:00-23:00; Sun 06:00-23:00</t>
  </si>
  <si>
    <t xml:space="preserve">Fusion One
ที่อยู่ ซอย เทพกระษัตรี ตำบล ไม้ขาว อำเภอ ถลาง ภูเก็ต 83110</t>
  </si>
  <si>
    <t xml:space="preserve">https://thailandtourismdirectory.go.th/th/restaurants/91434</t>
  </si>
  <si>
    <t xml:space="preserve">https://files.thailandtourismdirectory.go.th/assets/upload/2018/11/12/20181112c4ca4238a0b923820dcc509a6f75849b150049.jpg</t>
  </si>
  <si>
    <t xml:space="preserve">Glass House@Sino</t>
  </si>
  <si>
    <t xml:space="preserve">อาหารฟิวชั่น</t>
  </si>
  <si>
    <t xml:space="preserve">ถนน สุทัศน์ ตำบล ตลาดใหญ่ อำเภอเมืองภูเก็ต ภูเก็ต 83000</t>
  </si>
  <si>
    <t xml:space="preserve">076 232 429</t>
  </si>
  <si>
    <t xml:space="preserve">https://www.facebook.com/glasshouserestaurant/</t>
  </si>
  <si>
    <t xml:space="preserve">Mon 10:00-20:30; Tu 10:00-20:30; Wed 10:00-20:30; Thu 10:00-20:30; Fri 10:00-20:30; Sat 10:00-20:30; Sun 10:00-20:30</t>
  </si>
  <si>
    <t xml:space="preserve">Glass House@Sino 
ที่อยู่ ถนน สุทัศน์ ตำบล ตลาดใหญ่ อำเภอเมืองภูเก็ต ภูเก็ต 83000</t>
  </si>
  <si>
    <t xml:space="preserve">https://thailandtourismdirectory.go.th/th/restaurants/91361</t>
  </si>
  <si>
    <t xml:space="preserve">https://files.thailandtourismdirectory.go.th/assets/upload/2018/11/09/20181109c4ca4238a0b923820dcc509a6f75849b133411.jpg</t>
  </si>
  <si>
    <t xml:space="preserve">Happy Cake (แฮปปี้ เค้ก)</t>
  </si>
  <si>
    <t xml:space="preserve">ถนน เจ้าฟ้าตะวันตก ตำบล รัษฎา อำเภอเมืองภูเก็ต ภูเก็ต 83000</t>
  </si>
  <si>
    <t xml:space="preserve">081 979 6678</t>
  </si>
  <si>
    <t xml:space="preserve">https://www.facebook.com/happycakehappycafe/</t>
  </si>
  <si>
    <t xml:space="preserve">Mon 08:30-18:00; Wed 08:30-18:00; Thu 08:30-18:00; Fri 08:30-18:00; Sat 08:30-18:00; Sun 08:30-18:00</t>
  </si>
  <si>
    <t xml:space="preserve">Happy Cake (แฮปปี้ เค้ก) 
ที่อยู่ ถนน เจ้าฟ้าตะวันตก ตำบล รัษฎา อำเภอเมืองภูเก็ต ภูเก็ต 83000</t>
  </si>
  <si>
    <t xml:space="preserve">https://thailandtourismdirectory.go.th/th/restaurants/91329</t>
  </si>
  <si>
    <t xml:space="preserve">https://files.thailandtourismdirectory.go.th/assets/upload/2018/11/09/20181109c4ca4238a0b923820dcc509a6f75849b104322.jpg</t>
  </si>
  <si>
    <t xml:space="preserve">Happy Steak ฮาลาล</t>
  </si>
  <si>
    <t xml:space="preserve">อาหารไทย, อาหารนานาชาติ</t>
  </si>
  <si>
    <t xml:space="preserve">ซอย รัษฎารำลึก ตำบล รัษฎา อำเภอเมืองภูเก็ต ภูเก็ต 83000</t>
  </si>
  <si>
    <t xml:space="preserve">0862679400</t>
  </si>
  <si>
    <t xml:space="preserve">https://www.facebook.com/Happy-steak-Halal-424653657691060/</t>
  </si>
  <si>
    <t xml:space="preserve">Happy Steak ฮาลาล 
ที่อยู่ ซอย รัษฎารำลึก ตำบล รัษฎา อำเภอเมืองภูเก็ต ภูเก็ต 83000</t>
  </si>
  <si>
    <t xml:space="preserve">https://thailandtourismdirectory.go.th/th/restaurants/92109</t>
  </si>
  <si>
    <t xml:space="preserve">https://files.thailandtourismdirectory.go.th/assets/upload/2018/11/16/20181116c4ca4238a0b923820dcc509a6f75849b142527.jpg</t>
  </si>
  <si>
    <t xml:space="preserve">Happy Zone Karaoke</t>
  </si>
  <si>
    <t xml:space="preserve">คาราโอเกะ</t>
  </si>
  <si>
    <t xml:space="preserve">ถนน วิรัชหงษ์หยก ตำบล ตลาดเหนือ อำเภอเมืองภูเก็ต ภูเก็ต 83000</t>
  </si>
  <si>
    <t xml:space="preserve">085 800 9196</t>
  </si>
  <si>
    <t xml:space="preserve">https://www.facebook.com/happzone.phuket/</t>
  </si>
  <si>
    <t xml:space="preserve">Mon 20:00-23:59; Tu 20:00-23:59; Wed 20:00-23:59; Thu 20:00-23:59; Fri 20:00-23:59; Sat 20:00-23:59; Sun 20:00-23:59</t>
  </si>
  <si>
    <t xml:space="preserve">Happy Zone Karaoke 
ที่อยู่ ถนน วิรัชหงษ์หยก ตำบล ตลาดเหนือ อำเภอเมืองภูเก็ต ภูเก็ต 83000</t>
  </si>
  <si>
    <t xml:space="preserve">https://thailandtourismdirectory.go.th/th/restaurants/92087</t>
  </si>
  <si>
    <t xml:space="preserve">https://files.thailandtourismdirectory.go.th/assets/upload/2018/11/16/20181116c4ca4238a0b923820dcc509a6f75849b103350.jpg</t>
  </si>
  <si>
    <t xml:space="preserve">Hard Rock café (ฮาร์ดร็อค คาเฟ่)</t>
  </si>
  <si>
    <t xml:space="preserve">กึ่งผับ/ร้านเหล้า/บาร์, อาหารอเมริกัน</t>
  </si>
  <si>
    <t xml:space="preserve">48/1 ถนน ร่วมใจ ตำบลป่าตอง อำเภอ กะทู้ ภูเก็ต 83150</t>
  </si>
  <si>
    <t xml:space="preserve">076 366 381</t>
  </si>
  <si>
    <t xml:space="preserve">https://www.facebook.com/hardrockphuket/</t>
  </si>
  <si>
    <t xml:space="preserve">Sun 11:00-23:59; Mon 00:00-02:00; Mon 11:00-23:59; Tu 00:00-02:00; Tu 11:00-23:59; Wed 00:00-02:00; Wed 11:00-23:59; Thu 00:00-02:00; Thu 11:00-23:59; Fri 00:00-02:00; Fri 11:00-23:59; Sat 00:00-02:00; Sat 11:00-23:59; Sun 00:00-02:00</t>
  </si>
  <si>
    <t xml:space="preserve">Hard Rock café (ฮาร์ดร็อค คาเฟ่) 
ที่อยู่ 48/1 ถนน ร่วมใจ ตำบลป่าตอง อำเภอ กะทู้ ภูเก็ต 83150</t>
  </si>
  <si>
    <t xml:space="preserve">https://thailandtourismdirectory.go.th/th/restaurants/91446</t>
  </si>
  <si>
    <t xml:space="preserve">https://files.thailandtourismdirectory.go.th/assets/upload/2018/11/13/20181113c4ca4238a0b923820dcc509a6f75849b095538.jpg</t>
  </si>
  <si>
    <t xml:space="preserve">Hatch Phuket</t>
  </si>
  <si>
    <t xml:space="preserve">095 412 2777</t>
  </si>
  <si>
    <t xml:space="preserve">https://www.facebook.com/hatchphuket/</t>
  </si>
  <si>
    <t xml:space="preserve">Hatch Phuket
ที่อยู่ 2 ถนน ดีบุก ตำบล ตลาดใหญ่ อำเภอเมืองภูเก็ต ภูเก็ต 83000</t>
  </si>
  <si>
    <t xml:space="preserve">https://thailandtourismdirectory.go.th/th/restaurants/91487</t>
  </si>
  <si>
    <t xml:space="preserve">https://files.thailandtourismdirectory.go.th/assets/upload/2018/11/13/20181113032d9566af8c82bc330f0198db93d256142030.png</t>
  </si>
  <si>
    <t xml:space="preserve">Holy Carb (โฮลี่ แคร็บ)</t>
  </si>
  <si>
    <t xml:space="preserve">ซอย คณิต หงษ์หยก ตำบล ตลาดใหญ่ อำเภอเมืองภูเก็ต ภูเก็ต 83000</t>
  </si>
  <si>
    <t xml:space="preserve">083 644 1531</t>
  </si>
  <si>
    <t xml:space="preserve">https://www.facebook.com/holycrabPHUKET/</t>
  </si>
  <si>
    <t xml:space="preserve">Holy Carb (โฮลี่ แคร็บ) 
ที่อยู่ ซอย คณิต หงษ์หยก ตำบล ตลาดใหญ่ อำเภอเมืองภูเก็ต ภูเก็ต 83000</t>
  </si>
  <si>
    <t xml:space="preserve">https://thailandtourismdirectory.go.th/th/restaurants/91794</t>
  </si>
  <si>
    <t xml:space="preserve">https://files.thailandtourismdirectory.go.th/assets/upload/2018/11/14/20181114c4ca4238a0b923820dcc509a6f75849b145830.jpg</t>
  </si>
  <si>
    <t xml:space="preserve">Holy Shrimp At Chillva Market</t>
  </si>
  <si>
    <t xml:space="preserve">อาหารทะเล</t>
  </si>
  <si>
    <t xml:space="preserve">14 ซอย พะเนียง 4 ตำบล รัษฎา อำเภอเมืองภูเก็ต ภูเก็ต 83000</t>
  </si>
  <si>
    <t xml:space="preserve">094 803 6888</t>
  </si>
  <si>
    <t xml:space="preserve">https://www.facebook.com/holyshrimpphuket/</t>
  </si>
  <si>
    <t xml:space="preserve">Mon 17:00-23:00; Tu 17:00-23:00; Thu 17:00-23:00; Fri 17:00-23:00; Sat 17:00-23:00; Sun 17:00-23:00</t>
  </si>
  <si>
    <t xml:space="preserve">Holy Shrimp At Chillva Market
ที่อยู่ 14 ซอย พะเนียง 4 ตำบล รัษฎา อำเภอเมืองภูเก็ต ภูเก็ต 83000</t>
  </si>
  <si>
    <t xml:space="preserve">https://thailandtourismdirectory.go.th/th/restaurants/92083</t>
  </si>
  <si>
    <t xml:space="preserve">https://files.thailandtourismdirectory.go.th/assets/upload/2018/11/19/20181119c4ca4238a0b923820dcc509a6f75849b091104.jpg</t>
  </si>
  <si>
    <t xml:space="preserve">Homa Teppanyaki&amp;Japanese Cuisine</t>
  </si>
  <si>
    <t xml:space="preserve">อาหารญี่ปุ่น</t>
  </si>
  <si>
    <t xml:space="preserve">076-602498 </t>
  </si>
  <si>
    <t xml:space="preserve">https://www.facebook.com/Homa-Teppanyaki-Japanese-Cuisine-151265335290807/</t>
  </si>
  <si>
    <t xml:space="preserve">Homa Teppanyaki&amp;Japanese Cuisine
ที่อยู่ ถนน บางใหญ่ ตำบล รัษฎา อำเภอเมืองภูเก็ต ภูเก็ต 83000</t>
  </si>
  <si>
    <t xml:space="preserve">https://thailandtourismdirectory.go.th/th/restaurants/91375</t>
  </si>
  <si>
    <t xml:space="preserve">https://files.thailandtourismdirectory.go.th/assets/upload/2018/11/09/20181109c4ca4238a0b923820dcc509a6f75849b143030.jpg</t>
  </si>
  <si>
    <t xml:space="preserve">Hooters (ฮูเตอร์ส)</t>
  </si>
  <si>
    <t xml:space="preserve">อาหารอเมริกัน</t>
  </si>
  <si>
    <t xml:space="preserve">096 636 8174</t>
  </si>
  <si>
    <t xml:space="preserve">https://www.facebook.com/hootersphuket/</t>
  </si>
  <si>
    <t xml:space="preserve">Mon 00:00-02:00; Mon 11:00-23:59; Tu 00:00-02:00; Tu 11:00-23:59; Wed 00:00-02:00; Wed 11:00-23:59; Thu 00:00-02:00; Thu 11:00-23:59; Fri 00:00-02:00; Fri 11:00-23:59; Sat 00:00-02:00; Sat 11:00-23:59</t>
  </si>
  <si>
    <t xml:space="preserve">Hooters (ฮูเตอร์ส) 
ที่อยู่ 48/1 ถนน ร่วมใจ ตำบลป่าตอง อำเภอ กะทู้ ภูเก็ต 83150</t>
  </si>
  <si>
    <t xml:space="preserve">https://thailandtourismdirectory.go.th/th/restaurants/91366</t>
  </si>
  <si>
    <t xml:space="preserve">https://files.thailandtourismdirectory.go.th/assets/upload/2018/11/09/20181109c4ca4238a0b923820dcc509a6f75849b135844.jpg</t>
  </si>
  <si>
    <t xml:space="preserve">Hungry Monkey Phuket</t>
  </si>
  <si>
    <t xml:space="preserve">102 ถนน กระบี่ ตำบล ตลาดเหนือ อำเภอเมืองภูเก็ต ภูเก็ต 83000</t>
  </si>
  <si>
    <t xml:space="preserve">098 465 7856</t>
  </si>
  <si>
    <t xml:space="preserve">https://www.facebook.com/hungrymonkeyphuket/</t>
  </si>
  <si>
    <t xml:space="preserve">Sun 17:00-20:00; Mon 12:00-15:00; Mon 17:00-20:00; Tu 12:00-15:00; Tu 17:00-20:00; Wed 12:00-15:00; Wed 17:00-20:00; Thu 12:00-15:00; Thu 17:00-20:00; Fri 12:00-15:00; Fri 17:00-20:00; Sat 12:00-15:00; Sat 17:00-20:00; Sun 12:00-15:00</t>
  </si>
  <si>
    <t xml:space="preserve">Hungry Monkey Phuket 
ที่อยู่ 102 ถนน กระบี่ ตำบล ตลาดเหนือ อำเภอเมืองภูเก็ต ภูเก็ต 83000</t>
  </si>
  <si>
    <t xml:space="preserve">https://thailandtourismdirectory.go.th/th/restaurants/92116</t>
  </si>
  <si>
    <t xml:space="preserve">https://files.thailandtourismdirectory.go.th/assets/upload/2018/11/16/20181116c4ca4238a0b923820dcc509a6f75849b144717.jpg</t>
  </si>
  <si>
    <t xml:space="preserve">Ice Frost Dessert Cafe</t>
  </si>
  <si>
    <t xml:space="preserve">102 ถนน รัษฎา ตำบล ตลาดใหญ่ อำเภอเมืองภูเก็ต ภูเก็ต 83000</t>
  </si>
  <si>
    <t xml:space="preserve">086 003 7593</t>
  </si>
  <si>
    <t xml:space="preserve">https://www.facebook.com/icefrostphuket/</t>
  </si>
  <si>
    <t xml:space="preserve">Mon 12:00-22:00; Tu 12:00-22:00; Wed 12:00-22:00; Thu 12:00-22:00; Fri 12:00-22:00; Sat 12:00-22:00; Sun 12:00-22:00</t>
  </si>
  <si>
    <t xml:space="preserve">Ice Frost Dessert Café
ที่อยู่ 102 ถนน รัษฎา ตำบล ตลาดใหญ่ อำเภอเมืองภูเก็ต ภูเก็ต 83000</t>
  </si>
  <si>
    <t xml:space="preserve">https://thailandtourismdirectory.go.th/th/restaurants/91399</t>
  </si>
  <si>
    <t xml:space="preserve">https://files.thailandtourismdirectory.go.th/assets/upload/2018/11/09/20181109c4ca4238a0b923820dcc509a6f75849b155749.jpg</t>
  </si>
  <si>
    <t xml:space="preserve">Ice Style Salad</t>
  </si>
  <si>
    <t xml:space="preserve">อาหารคลีน/สลัด</t>
  </si>
  <si>
    <t xml:space="preserve">ถนน บางกอก ตำบล ตลาดเหนือ อำเภอเมืองภูเก็ต ภูเก็ต 83000</t>
  </si>
  <si>
    <t xml:space="preserve">087 477 7478</t>
  </si>
  <si>
    <t xml:space="preserve">https://www.facebook.com/icestyle.phuket/</t>
  </si>
  <si>
    <t xml:space="preserve">Ice Style Salad
ที่อยู่ ถนน บางกอก ตำบล ตลาดเหนือ อำเภอเมืองภูเก็ต ภูเก็ต 83000</t>
  </si>
  <si>
    <t xml:space="preserve">https://thailandtourismdirectory.go.th/th/restaurants/91349</t>
  </si>
  <si>
    <t xml:space="preserve">https://files.thailandtourismdirectory.go.th/assets/upload/2018/11/09/20181109c4ca4238a0b923820dcc509a6f75849b114418.jpg</t>
  </si>
  <si>
    <t xml:space="preserve">Ichi Sushi (อิจิซูชิ)</t>
  </si>
  <si>
    <t xml:space="preserve">ถนนเยาวราช ตำบล รัษฎา อำเภอเมืองภูเก็ต ภูเก็ต 83000</t>
  </si>
  <si>
    <t xml:space="preserve">084 850 2447</t>
  </si>
  <si>
    <t xml:space="preserve">https://www.facebook.com/sumousushi/</t>
  </si>
  <si>
    <t xml:space="preserve">Ichi Sushi (อิจิซูชิ)
ที่อยู่ ถนนเยาวราช ตำบล รัษฎา อำเภอเมืองภูเก็ต ภูเก็ต 83000</t>
  </si>
  <si>
    <t xml:space="preserve">https://thailandtourismdirectory.go.th/th/restaurants/91378</t>
  </si>
  <si>
    <t xml:space="preserve">https://files.thailandtourismdirectory.go.th/assets/upload/2018/11/09/20181109c4ca4238a0b923820dcc509a6f75849b144419.jpg</t>
  </si>
  <si>
    <t xml:space="preserve">In Sea seafood Buffet</t>
  </si>
  <si>
    <t xml:space="preserve">อาหารทะเล, บุฟเฟ่ต์, อาหารไทย</t>
  </si>
  <si>
    <t xml:space="preserve">4021 ตำบล ฉลอง อำเภอเมืองภูเก็ต ภูเก็ต 83000</t>
  </si>
  <si>
    <t xml:space="preserve">091 035 5616</t>
  </si>
  <si>
    <t xml:space="preserve">https://www.facebook.com/inseaseafoodbuffet/</t>
  </si>
  <si>
    <t xml:space="preserve">Sun 17:00-22:00; Mon 11:00-15:00; Mon 17:00-22:00; Tu 11:00-15:00; Tu 17:00-22:00; Wed 11:00-15:00; Wed 17:00-22:00; Thu 11:00-15:00; Thu 17:00-22:00; Fri 11:00-15:00; Fri 17:00-22:00; Sat 11:00-15:00; Sat 17:00-22:00; Sun 11:00-15:00</t>
  </si>
  <si>
    <t xml:space="preserve">In Sea seafood Buffet 
ที่อยู่ 4021 ตำบล ฉลอง อำเภอเมืองภูเก็ต ภูเก็ต 83000</t>
  </si>
  <si>
    <t xml:space="preserve">https://thailandtourismdirectory.go.th/th/restaurants/91249</t>
  </si>
  <si>
    <t xml:space="preserve">https://files.thailandtourismdirectory.go.th/assets/upload/2018/11/08/20181108c4ca4238a0b923820dcc509a6f75849b103310.jpg</t>
  </si>
  <si>
    <t xml:space="preserve">J-House Dim Sum (เจเฮ้าส์ ติ่มซำ)</t>
  </si>
  <si>
    <t xml:space="preserve">ติ่มซำ</t>
  </si>
  <si>
    <t xml:space="preserve">16 ถนน เยาวราช 2/3 ตำบล รัษฎา อำเภอเมืองภูเก็ต ภูเก็ต 83000</t>
  </si>
  <si>
    <t xml:space="preserve">076 255 399</t>
  </si>
  <si>
    <t xml:space="preserve">https://www.facebook.com/JHouseDimSum/</t>
  </si>
  <si>
    <t xml:space="preserve">Mon 06:00-13:00; Tu 06:00-13:00; Thu 06:00-13:00; Fri 06:00-13:00; Sat 06:00-13:00; Sun 06:00-13:00</t>
  </si>
  <si>
    <t xml:space="preserve">J-House Dim Sum (เจเฮ้าส์ ติ่มซำ)
ที่อยู่ 16 ถนน เยาวราช 2/3 ตำบล รัษฎา อำเภอเมืองภูเก็ต ภูเก็ต 83000</t>
  </si>
  <si>
    <t xml:space="preserve">https://thailandtourismdirectory.go.th/th/restaurants/91438</t>
  </si>
  <si>
    <t xml:space="preserve">https://files.thailandtourismdirectory.go.th/assets/upload/2018/11/12/20181112c4ca4238a0b923820dcc509a6f75849b153942.jpg</t>
  </si>
  <si>
    <t xml:space="preserve">KINDEE (กินดี)</t>
  </si>
  <si>
    <t xml:space="preserve">ตำบล ไม้ขาว อำเภอ ถลาง ภูเก็ต 83110</t>
  </si>
  <si>
    <t xml:space="preserve">082-814-8482 </t>
  </si>
  <si>
    <t xml:space="preserve">https://www.facebook.com/Kindee%E0%B8%84%E0%B8%A3%E0%B8%B1%E0%B8%A7%E0%B8%81%E0%B8%B4%E0%B8%99%E0%B8%94%E0%B8%B5-1374979362732496/</t>
  </si>
  <si>
    <t xml:space="preserve">KINDEE (กินดี)
ที่อยู่ ตำบล ไม้ขาว อำเภอ ถลาง ภูเก็ต 83110</t>
  </si>
  <si>
    <t xml:space="preserve">https://thailandtourismdirectory.go.th/th/restaurants/92123</t>
  </si>
  <si>
    <t xml:space="preserve">https://files.thailandtourismdirectory.go.th/assets/upload/2018/11/16/20181116c4ca4238a0b923820dcc509a6f75849b151116.jpg</t>
  </si>
  <si>
    <t xml:space="preserve">KN Coffee Seafood &amp; Rabiabg View</t>
  </si>
  <si>
    <t xml:space="preserve">ร้านกาแฟ/ชา, อาหารมุสลิม/อิสลาม</t>
  </si>
  <si>
    <t xml:space="preserve">ถนนหมื่นเงิน ตำบลป่าตอง อำเภอ กะทู้ ภูเก็ต 83150</t>
  </si>
  <si>
    <t xml:space="preserve">089 473 3893</t>
  </si>
  <si>
    <t xml:space="preserve">https://www.facebook.com/KN-coffee-and-Rabiang-View-200287170334712/</t>
  </si>
  <si>
    <t xml:space="preserve">KN Coffee Seafood &amp; Rabiabg View 
ที่อยู่ ถนนหมื่นเงิน ตำบลป่าตอง อำเภอ กะทู้ ภูเก็ต 83150</t>
  </si>
  <si>
    <t xml:space="preserve">https://thailandtourismdirectory.go.th/th/restaurants/90849</t>
  </si>
  <si>
    <t xml:space="preserve">https://files.thailandtourismdirectory.go.th/assets/upload/2018/11/02/20181102c4ca4238a0b923820dcc509a6f75849b111949.jpg</t>
  </si>
  <si>
    <t xml:space="preserve">KanEang @pier</t>
  </si>
  <si>
    <t xml:space="preserve">อาหารทะเล, อาหารนานาชาติ</t>
  </si>
  <si>
    <t xml:space="preserve">ถนน ซันไรซ์ ตำบล ฉลอง อำเภอเมืองภูเก็ต ภูเก็ต 83100</t>
  </si>
  <si>
    <t xml:space="preserve">076 381 212</t>
  </si>
  <si>
    <t xml:space="preserve">https://www.facebook.com/kaneangatpier/</t>
  </si>
  <si>
    <t xml:space="preserve">KanEang @pier 
ที่อยู่ ถนน ซันไรซ์ ตำบล ฉลอง อำเภอเมืองภูเก็ต ภูเก็ต 83100</t>
  </si>
  <si>
    <t xml:space="preserve">https://thailandtourismdirectory.go.th/th/restaurants/90836</t>
  </si>
  <si>
    <t xml:space="preserve">https://files.thailandtourismdirectory.go.th/assets/upload/2018/11/02/20181102729ce10906c71e70e675ca3a642fa1cc091815.png</t>
  </si>
  <si>
    <t xml:space="preserve">Kc Kathu Connection Sport Club &amp; Restaurant</t>
  </si>
  <si>
    <t xml:space="preserve">พิซซ่า, อาหารนานาชาติ</t>
  </si>
  <si>
    <t xml:space="preserve">Unnamed Road, ตำบล กะทู้ อำเภอ กะทู้ ภูเก็ต 83120</t>
  </si>
  <si>
    <t xml:space="preserve">076-603-802</t>
  </si>
  <si>
    <t xml:space="preserve">https://www.facebook.com/KathuConnection/</t>
  </si>
  <si>
    <t xml:space="preserve">Kc Kathu Connection Sport Club &amp; Restaurant 
ที่อยู่ Unnamed Road, ตำบล กะทู้ อำเภอ กะทู้ ภูเก็ต 83120</t>
  </si>
  <si>
    <t xml:space="preserve">https://thailandtourismdirectory.go.th/th/restaurants/90819</t>
  </si>
  <si>
    <t xml:space="preserve">https://files.thailandtourismdirectory.go.th/assets/upload/2018/11/01/20181101c4ca4238a0b923820dcc509a6f75849b150039.jpg</t>
  </si>
  <si>
    <t xml:space="preserve">Khao Rang Breeze Restaurant</t>
  </si>
  <si>
    <t xml:space="preserve">สเต๊ก, อาหารไทย, อาหารนานาชาติ</t>
  </si>
  <si>
    <t xml:space="preserve">ซอย วชิระ ตำบล รัษฎา อำเภอเมืองภูเก็ต ภูเก็ต 83000</t>
  </si>
  <si>
    <t xml:space="preserve">076 355 775</t>
  </si>
  <si>
    <t xml:space="preserve">https://www.facebook.com/khaorangbreezerestaurant/</t>
  </si>
  <si>
    <t xml:space="preserve">Mon 10:00-23:59; Tu 10:00-23:59; Wed 10:00-23:59; Thu 10:00-23:59; Fri 10:00-23:59; Sat 10:00-23:59; Sun 10:00-23:59</t>
  </si>
  <si>
    <t xml:space="preserve">Khao Rang Breeze Restaurant 
ที่อยู่ ซอย วชิระ ตำบล รัษฎา อำเภอเมืองภูเก็ต ภูเก็ต 83000</t>
  </si>
  <si>
    <t xml:space="preserve">https://thailandtourismdirectory.go.th/th/restaurants/90860</t>
  </si>
  <si>
    <t xml:space="preserve">https://files.thailandtourismdirectory.go.th/assets/upload/2018/11/02/20181102c4ca4238a0b923820dcc509a6f75849b142236.jpg</t>
  </si>
  <si>
    <t xml:space="preserve">KingKong Cafe'</t>
  </si>
  <si>
    <t xml:space="preserve">51 ซอย หงษ์หยกอุทิศ ตำบล ตลาดใหญ่ อำเภอเมืองภูเก็ต ภูเก็ต 83000</t>
  </si>
  <si>
    <t xml:space="preserve">081 539 1259</t>
  </si>
  <si>
    <t xml:space="preserve">https://www.facebook.com/Kingkong.Cafe.Phuket/</t>
  </si>
  <si>
    <t xml:space="preserve">KingKong Cafe'
ที่อยู่ 51 ซอย หงษ์หยกอุทิศ ตำบล ตลาดใหญ่ อำเภอเมืองภูเก็ต ภูเก็ต 83000</t>
  </si>
  <si>
    <t xml:space="preserve">https://thailandtourismdirectory.go.th/th/restaurants/91165</t>
  </si>
  <si>
    <t xml:space="preserve">https://files.thailandtourismdirectory.go.th/assets/upload/2018/11/07/20181107c4ca4238a0b923820dcc509a6f75849b113935.jpg</t>
  </si>
  <si>
    <t xml:space="preserve">Koh Kimbob</t>
  </si>
  <si>
    <t xml:space="preserve">อาหารเกาหลี</t>
  </si>
  <si>
    <t xml:space="preserve">ถนน ทุ่งคา ตำบล ตลาดใหญ่ อำเภอเมืองภูเก็ต ภูเก็ต 83000</t>
  </si>
  <si>
    <t xml:space="preserve">099 324 4063</t>
  </si>
  <si>
    <t xml:space="preserve">https://www.facebook.com/kohkimbob/</t>
  </si>
  <si>
    <t xml:space="preserve">Koh Kimbob 
ที่อยู่ ถนน ทุ่งคา ตำบล ตลาดใหญ่ อำเภอเมืองภูเก็ต ภูเก็ต 83000</t>
  </si>
  <si>
    <t xml:space="preserve">https://thailandtourismdirectory.go.th/th/restaurants/91759</t>
  </si>
  <si>
    <t xml:space="preserve">https://files.thailandtourismdirectory.go.th/assets/upload/2018/11/14/20181114c4ca4238a0b923820dcc509a6f75849b105126.jpg</t>
  </si>
  <si>
    <t xml:space="preserve">Kokorotako (โคโคโระทาโกะ)</t>
  </si>
  <si>
    <t xml:space="preserve">ภก.3001 ตำบล รัษฎา อำเภอเมืองภูเก็ต ภูเก็ต 83000</t>
  </si>
  <si>
    <t xml:space="preserve">076 376 299</t>
  </si>
  <si>
    <t xml:space="preserve">https://www.facebook.com/Kokorotako-400785150005242/</t>
  </si>
  <si>
    <t xml:space="preserve">Mon 11:00-23:00; Tu 11:00-23:00; Wed 11:00-23:00; Thu 11:00-23:00; Fri 11:00-23:00; Sat 11:00-23:00; Sun 11:00-23:00</t>
  </si>
  <si>
    <t xml:space="preserve">Kokorotako (โคโคโระทาโกะ) 
ที่อยู่ ภก.3001 ตำบล รัษฎา อำเภอเมืองภูเก็ต ภูเก็ต 83000</t>
  </si>
  <si>
    <t xml:space="preserve">https://thailandtourismdirectory.go.th/th/restaurants/91360</t>
  </si>
  <si>
    <t xml:space="preserve">https://files.thailandtourismdirectory.go.th/assets/upload/2018/11/09/20181109c4ca4238a0b923820dcc509a6f75849b132953.jpg</t>
  </si>
  <si>
    <t xml:space="preserve">Kopi De Phuket</t>
  </si>
  <si>
    <t xml:space="preserve">ของหวาน, อาหารไทย, คาเฟ่</t>
  </si>
  <si>
    <t xml:space="preserve">076 212 225</t>
  </si>
  <si>
    <t xml:space="preserve">https://www.facebook.com/kopidephuket/</t>
  </si>
  <si>
    <t xml:space="preserve">Mon 06:00-21:00; Tu 06:00-21:00; Wed 06:00-21:00; Thu 06:00-21:00; Fri 06:00-21:00; Sat 06:00-21:00; Sun 06:00-21:00</t>
  </si>
  <si>
    <t xml:space="preserve">Kopi De Phuket 
ที่อยู่ 25/34 ถนน ภูเก็ต ตำบล รัษฎา อำเภอเมืองภูเก็ต ภูเก็ต 83000</t>
  </si>
  <si>
    <t xml:space="preserve">https://thailandtourismdirectory.go.th/th/restaurants/90814</t>
  </si>
  <si>
    <t xml:space="preserve">https://files.thailandtourismdirectory.go.th/assets/upload/2018/11/01/20181101c4ca4238a0b923820dcc509a6f75849b143725.jpg</t>
  </si>
  <si>
    <t xml:space="preserve">Kudo Beach Club</t>
  </si>
  <si>
    <t xml:space="preserve">กึ่งผับ/ร้านเหล้า/บาร์, อาหารไทย, อาหารนานาชาติ</t>
  </si>
  <si>
    <t xml:space="preserve">4233 ตำบลป่าตอง อำเภอ กะทู้ ภูเก็ต 83150</t>
  </si>
  <si>
    <t xml:space="preserve">076 609 401</t>
  </si>
  <si>
    <t xml:space="preserve">https://www.facebook.com/kudobeachclub/</t>
  </si>
  <si>
    <t xml:space="preserve">Kudo Beach Club 
ที่อยู่ 4233 ตำบลป่าตอง อำเภอ กะทู้ ภูเก็ต 83150</t>
  </si>
  <si>
    <t xml:space="preserve">https://thailandtourismdirectory.go.th/th/restaurants/92107</t>
  </si>
  <si>
    <t xml:space="preserve">https://files.thailandtourismdirectory.go.th/assets/upload/2018/11/16/20181116c4ca4238a0b923820dcc509a6f75849b141603.jpg</t>
  </si>
  <si>
    <t xml:space="preserve">Kuma Premium Sushi Buffet</t>
  </si>
  <si>
    <t xml:space="preserve">อาหารญี่ปุ่น, บุฟเฟ่ต์</t>
  </si>
  <si>
    <t xml:space="preserve">ถนนเยาวราช ตำบล ตลาดเหนือ อำเภอเมืองภูเก็ต ภูเก็ต 83000</t>
  </si>
  <si>
    <t xml:space="preserve">076 641 153</t>
  </si>
  <si>
    <t xml:space="preserve">https://www.facebook.com/kuma.sushi.buffet/</t>
  </si>
  <si>
    <t xml:space="preserve">Sun 17:00-22:00; Tu 12:00-15:00; Tu 17:00-22:00; Wed 12:00-15:00; Wed 17:00-22:00; Thu 12:00-15:00; Thu 17:00-22:00; Fri 12:00-15:00; Fri 17:00-22:00; Sat 12:00-15:00; Sat 17:00-22:00; Sun 12:00-15:00</t>
  </si>
  <si>
    <t xml:space="preserve">Kuma Premium Sushi Buffet 
ที่อยู่ ถนนเยาวราช ตำบล ตลาดเหนือ อำเภอเมืองภูเก็ต ภูเก็ต 83000</t>
  </si>
  <si>
    <t xml:space="preserve">https://thailandtourismdirectory.go.th/th/restaurants/90866</t>
  </si>
  <si>
    <t xml:space="preserve">https://files.thailandtourismdirectory.go.th/assets/upload/2018/11/02/20181102c4ca4238a0b923820dcc509a6f75849b145732.jpg</t>
  </si>
  <si>
    <t xml:space="preserve">La Boucherie Chalong</t>
  </si>
  <si>
    <t xml:space="preserve">สเต๊ก</t>
  </si>
  <si>
    <t xml:space="preserve">094 807 6831</t>
  </si>
  <si>
    <t xml:space="preserve">https://www.facebook.com/La.Boucherie.Chalong/</t>
  </si>
  <si>
    <t xml:space="preserve">La Boucherie Chalong
ที่อยู่ ถนนเจ้าฟ้า ตำบล ฉลอง อำเภอเมืองภูเก็ต ภูเก็ต 83000</t>
  </si>
  <si>
    <t xml:space="preserve">https://thailandtourismdirectory.go.th/th/restaurants/92168</t>
  </si>
  <si>
    <t xml:space="preserve">https://files.thailandtourismdirectory.go.th/assets/upload/2018/11/19/20181119c4ca4238a0b923820dcc509a6f75849b095449.jpg</t>
  </si>
  <si>
    <t xml:space="preserve">La Gritta @Amari Phuket</t>
  </si>
  <si>
    <t xml:space="preserve">พิซซ่า, อาหารอิตาเลียน</t>
  </si>
  <si>
    <t xml:space="preserve">2 Meun-Ngern Road ตำบลป่าตอง อำเภอ กะทู้ ภูเก็ต 83150</t>
  </si>
  <si>
    <t xml:space="preserve">076 340 112</t>
  </si>
  <si>
    <t xml:space="preserve">https://www.facebook.com/LaGrittaPhuket/</t>
  </si>
  <si>
    <t xml:space="preserve">La Gritta @Amari Phuket 
ที่อยู่ 2 Meun-Ngern Road ตำบลป่าตอง อำเภอ กะทู้ ภูเก็ต 83150</t>
  </si>
  <si>
    <t xml:space="preserve">https://thailandtourismdirectory.go.th/th/restaurants/91348</t>
  </si>
  <si>
    <t xml:space="preserve">https://files.thailandtourismdirectory.go.th/assets/upload/2018/11/09/20181109c4ca4238a0b923820dcc509a6f75849b114016.jpg</t>
  </si>
  <si>
    <t xml:space="preserve">Lemongrass (เลมอนกลาส)</t>
  </si>
  <si>
    <t xml:space="preserve">ถนน ดีบุก ตำบล ตลาดใหญ่ อำเภอเมืองภูเก็ต ภูเก็ต 83000</t>
  </si>
  <si>
    <t xml:space="preserve">076 682 999</t>
  </si>
  <si>
    <t xml:space="preserve">https://www.facebook.com/Lemongrass-Thai-Cuisine-%E0%B9%80%E0%B8%A5%E0%B8%A1%E0%B8%AD%E0%B8%99%E0%B8%81%E0%B8%A3%E0%B8%B2%E0%B8%AA-923840277679664/</t>
  </si>
  <si>
    <t xml:space="preserve">Lemongrass (เลมอนกลาส) 
ที่อยู่ ถนน ดีบุก ตำบล ตลาดใหญ่ อำเภอเมืองภูเก็ต ภูเก็ต 83000</t>
  </si>
  <si>
    <t xml:space="preserve">https://thailandtourismdirectory.go.th/th/restaurants/91754</t>
  </si>
  <si>
    <t xml:space="preserve">https://files.thailandtourismdirectory.go.th/assets/upload/2018/11/14/20181114c4ca4238a0b923820dcc509a6f75849b103831.jpg</t>
  </si>
  <si>
    <t xml:space="preserve">Life A Bike Cafe</t>
  </si>
  <si>
    <t xml:space="preserve">088 752 2083</t>
  </si>
  <si>
    <t xml:space="preserve">https://www.facebook.com/lifeabike/</t>
  </si>
  <si>
    <t xml:space="preserve">Mon 09:00-19:00; Wed 09:00-19:00; Thu 09:00-19:00; Fri 09:00-19:00; Sat 09:00-19:00; Sun 09:00-19:00</t>
  </si>
  <si>
    <t xml:space="preserve">Life A Bike Café
ที่อยู่ ถนนวิชิตสงคราม ตำบล กะทู้ อำเภอ กะทู้ ภูเก็ต 83120</t>
  </si>
  <si>
    <t xml:space="preserve">https://thailandtourismdirectory.go.th/th/restaurants/91291</t>
  </si>
  <si>
    <t xml:space="preserve">https://files.thailandtourismdirectory.go.th/assets/upload/2018/11/08/20181108c4ca4238a0b923820dcc509a6f75849b145557.jpg</t>
  </si>
  <si>
    <t xml:space="preserve">Little Paris Phuket</t>
  </si>
  <si>
    <t xml:space="preserve">เบเกอรี/เค้ก, อาหารเช้า, อาหารฝรั่งเศส</t>
  </si>
  <si>
    <t xml:space="preserve">ซอย เชิงทะเล 16 ตำบล เชิงทะเล อำเภอ ถลาง ภูเก็ต 83110</t>
  </si>
  <si>
    <t xml:space="preserve">076 324 030</t>
  </si>
  <si>
    <t xml:space="preserve">https://www.facebook.com/TheLittleParisPhuket/</t>
  </si>
  <si>
    <t xml:space="preserve">Mon 08:00-23:59; Tu 08:00-23:59; Wed 08:00-23:59; Thu 08:00-23:59; Fri 08:00-23:59; Sat 08:00-23:59; Sun 08:00-23:59</t>
  </si>
  <si>
    <t xml:space="preserve">Little Paris Phuket
ที่อยู่ ซอย เชิงทะเล 16 ตำบล เชิงทะเล อำเภอ ถลาง ภูเก็ต 83110</t>
  </si>
  <si>
    <t xml:space="preserve">https://thailandtourismdirectory.go.th/th/restaurants/91799</t>
  </si>
  <si>
    <t xml:space="preserve">https://files.thailandtourismdirectory.go.th/assets/upload/2018/11/14/20181114c4ca4238a0b923820dcc509a6f75849b151403.jpg</t>
  </si>
  <si>
    <t xml:space="preserve">Longbar Patong</t>
  </si>
  <si>
    <t xml:space="preserve">44 ถนนทวีวงศ์ ตำบลป่าตอง อำเภอ กะทู้ ภูเก็ต 83150</t>
  </si>
  <si>
    <t xml:space="preserve">090 959 1995</t>
  </si>
  <si>
    <t xml:space="preserve">https://www.facebook.com/LongbarPatong/</t>
  </si>
  <si>
    <t xml:space="preserve">Sun 11:00-23:59; Mon 00:00-03:00; Mon 11:00-23:59; Tu 00:00-03:00; Tu 11:00-23:59; Wed 00:00-03:00; Wed 11:00-23:59; Thu 00:00-03:00; Thu 11:00-23:59; Fri 00:00-03:00; Fri 11:00-23:59; Sat 00:00-03:00; Sat 11:00-23:59; Sun 00:00-03:00</t>
  </si>
  <si>
    <t xml:space="preserve">Longbar Patong 
ที่อยู่ 44 ถนนทวีวงศ์ ตำบลป่าตอง อำเภอ กะทู้ ภูเก็ต 83150</t>
  </si>
  <si>
    <t xml:space="preserve">https://thailandtourismdirectory.go.th/th/restaurants/91965</t>
  </si>
  <si>
    <t xml:space="preserve">https://files.thailandtourismdirectory.go.th/assets/upload/2018/11/15/20181115c4ca4238a0b923820dcc509a6f75849b133443.jpg</t>
  </si>
  <si>
    <t xml:space="preserve">MR.Ink Bubble Milk Tea</t>
  </si>
  <si>
    <t xml:space="preserve">เครื่องดื่ม/น้ำผลไม้/ชานมไข่มุก</t>
  </si>
  <si>
    <t xml:space="preserve">062 883 6998</t>
  </si>
  <si>
    <t xml:space="preserve">https://www.facebook.com/MRINKBUBBLEMILKTEA/</t>
  </si>
  <si>
    <t xml:space="preserve">Mon 09:00-19:00; Tu 09:00-19:00; Wed 09:00-19:00; Thu 09:00-19:00; Fri 09:00-19:00; Sat 09:00-19:00; Sun 09:00-19:00</t>
  </si>
  <si>
    <t xml:space="preserve">MR.Ink Bubble Milk Tea 
ที่อยู่ ถนนวิชิตสงคราม ตำบล กะทู้ อำเภอ กะทู้ ภูเก็ต 83120</t>
  </si>
  <si>
    <t xml:space="preserve">https://thailandtourismdirectory.go.th/th/restaurants/91770</t>
  </si>
  <si>
    <t xml:space="preserve">https://files.thailandtourismdirectory.go.th/assets/upload/2018/11/14/20181114c4ca4238a0b923820dcc509a6f75849b131937.jpg</t>
  </si>
  <si>
    <t xml:space="preserve">Mac-Chiato House Cake Box</t>
  </si>
  <si>
    <t xml:space="preserve">53 ถนน ถลาง ตำบล ตลาดใหญ่ อำเภอเมืองภูเก็ต ภูเก็ต 83000</t>
  </si>
  <si>
    <t xml:space="preserve">076 215 701</t>
  </si>
  <si>
    <t xml:space="preserve">https://www.facebook.com/MacchiatoHouse/</t>
  </si>
  <si>
    <t xml:space="preserve">Mon 08:00-21:00; Tu 08:00-21:00; Wed 08:00-21:00; Thu 08:00-21:00; Fri 08:00-21:00; Sat 08:00-21:00; Sun 08:00-21:00</t>
  </si>
  <si>
    <t xml:space="preserve">Mac-Chiato House Cake Box 
ที่อยู่ 53 ถนน ถลาง ตำบล ตลาดใหญ่ อำเภอเมืองภูเก็ต ภูเก็ต 83000</t>
  </si>
  <si>
    <t xml:space="preserve">https://thailandtourismdirectory.go.th/th/restaurants/90810</t>
  </si>
  <si>
    <t xml:space="preserve">https://files.thailandtourismdirectory.go.th/assets/upload/2018/11/01/20181101c4ca4238a0b923820dcc509a6f75849b141709.jpg</t>
  </si>
  <si>
    <t xml:space="preserve">Malika Terrace</t>
  </si>
  <si>
    <t xml:space="preserve">ร้านบนดาดฟ้า, อาหารนานาชาติ</t>
  </si>
  <si>
    <t xml:space="preserve">076-358-999 </t>
  </si>
  <si>
    <t xml:space="preserve">https://www.facebook.com/KalimaResortPhuket/</t>
  </si>
  <si>
    <t xml:space="preserve">Mon 18:00-23:00; Tu 18:00-23:00; Wed 18:00-23:00; Thu 18:00-23:00; Fri 18:00-23:00; Sat 18:00-23:00; Sun 18:00-23:00</t>
  </si>
  <si>
    <t xml:space="preserve">Malika Terrace 
ที่อยู่ 4233 ตำบลป่าตอง อำเภอ กะทู้ ภูเก็ต 83150</t>
  </si>
  <si>
    <t xml:space="preserve">https://thailandtourismdirectory.go.th/th/restaurants/91424</t>
  </si>
  <si>
    <t xml:space="preserve">https://files.thailandtourismdirectory.go.th/assets/upload/2018/11/12/20181112c4ca4238a0b923820dcc509a6f75849b132613.jpg</t>
  </si>
  <si>
    <t xml:space="preserve">Marco Polo222</t>
  </si>
  <si>
    <t xml:space="preserve">0969159645</t>
  </si>
  <si>
    <t xml:space="preserve">https://www.facebook.com/marco222polo/</t>
  </si>
  <si>
    <t xml:space="preserve">Marco Polo222 
ที่อยู่ ถนน ดีบุก ตำบล ตลาดใหญ่ อำเภอเมืองภูเก็ต ภูเก็ต 83000</t>
  </si>
  <si>
    <t xml:space="preserve">https://thailandtourismdirectory.go.th/th/restaurants/92167</t>
  </si>
  <si>
    <t xml:space="preserve">https://files.thailandtourismdirectory.go.th/assets/upload/2018/11/19/20181119c4ca4238a0b923820dcc509a6f75849b094653.jpg</t>
  </si>
  <si>
    <t xml:space="preserve">Margaret fresh coffee &amp; bakery home made</t>
  </si>
  <si>
    <t xml:space="preserve">3047 ตำบล ราไวย์ อำเภอเมืองภูเก็ต ภูเก็ต 83100</t>
  </si>
  <si>
    <t xml:space="preserve">061 794 2995</t>
  </si>
  <si>
    <t xml:space="preserve">https://www.facebook.com/Damrong.phuke/</t>
  </si>
  <si>
    <t xml:space="preserve">Fri 10:00-17:00; Sat 10:00-17:00; Sun 10:00-17:00</t>
  </si>
  <si>
    <t xml:space="preserve">Margaret fresh coffee &amp; bakery home made
ที่อยู่ 3047 ตำบล ราไวย์ อำเภอเมืองภูเก็ต ภูเก็ต 83100</t>
  </si>
  <si>
    <t xml:space="preserve">https://thailandtourismdirectory.go.th/th/restaurants/91273</t>
  </si>
  <si>
    <t xml:space="preserve">https://files.thailandtourismdirectory.go.th/assets/upload/2018/11/08/20181108c4ca4238a0b923820dcc509a6f75849b134720.jpg</t>
  </si>
  <si>
    <t xml:space="preserve">Mark cafe</t>
  </si>
  <si>
    <t xml:space="preserve">173 ถนน พังงา ตำบล ตลาดใหญ่ อำเภอเมืองภูเก็ต ภูเก็ต 83000</t>
  </si>
  <si>
    <t xml:space="preserve">096 971 0434</t>
  </si>
  <si>
    <t xml:space="preserve">https://www.facebook.com/mark.cafe.phuket/</t>
  </si>
  <si>
    <t xml:space="preserve">Mark cafe 
ที่อยู่ 173 ถนน พังงา ตำบล ตลาดใหญ่ อำเภอเมืองภูเก็ต ภูเก็ต 83000</t>
  </si>
  <si>
    <t xml:space="preserve">https://thailandtourismdirectory.go.th/th/restaurants/91971</t>
  </si>
  <si>
    <t xml:space="preserve">https://files.thailandtourismdirectory.go.th/assets/upload/2018/11/15/20181115c4ca4238a0b923820dcc509a6f75849b141246.jpg</t>
  </si>
  <si>
    <t xml:space="preserve">Masaaki Sushi (มาซากิ ซูชิ)</t>
  </si>
  <si>
    <t xml:space="preserve">ซูชิ</t>
  </si>
  <si>
    <t xml:space="preserve">48 ถนน เทพกระษัตรี-ในยาง ตำบล สาคู อำเภอ ถลาง ภูเก็ต 83110</t>
  </si>
  <si>
    <t xml:space="preserve">081 719 8901</t>
  </si>
  <si>
    <t xml:space="preserve">https://www.facebook.com/masaakisushijapanese/</t>
  </si>
  <si>
    <t xml:space="preserve">Mon 14:00-23:00; Tu 14:00-23:00; Wed 14:00-23:00; Thu 14:00-23:00; Fri 14:00-23:00; Sat 14:00-23:00; Sun 14:00-23:00</t>
  </si>
  <si>
    <t xml:space="preserve">Masaaki Sushi (มาซากิ ซูชิ) 
ที่อยู่ 48 ถนน เทพกระษัตรี-ในยาง ตำบล สาคู อำเภอ ถลาง ภูเก็ต 83110</t>
  </si>
  <si>
    <t xml:space="preserve">https://thailandtourismdirectory.go.th/th/restaurants/91479</t>
  </si>
  <si>
    <t xml:space="preserve">https://files.thailandtourismdirectory.go.th/assets/upload/2018/11/13/20181113c4ca4238a0b923820dcc509a6f75849b152023.jpg</t>
  </si>
  <si>
    <t xml:space="preserve">May Your Coffee (เมย์ ยัว คอฟฟี่)</t>
  </si>
  <si>
    <t xml:space="preserve">345 ถนนระนอง ตำบล ตลาดเหนือ อำเภอเมืองภูเก็ต ภูเก็ต 83000</t>
  </si>
  <si>
    <t xml:space="preserve">076 213 653</t>
  </si>
  <si>
    <t xml:space="preserve">https://www.facebook.com/mayyourcoffee/</t>
  </si>
  <si>
    <t xml:space="preserve">Mon 09:30-20:00; Tu 09:30-20:00; Wed 09:30-20:00; Thu 09:30-20:00; Fri 09:30-20:00; Sat 09:30-20:00; Sun 09:30-20:00</t>
  </si>
  <si>
    <t xml:space="preserve">May Your Coffee (เมย์ ยัว คอฟฟี่) 
ที่อยู่ 345 ถนนระนอง ตำบล ตลาดเหนือ อำเภอเมืองภูเก็ต ภูเก็ต 83000</t>
  </si>
  <si>
    <t xml:space="preserve">https://thailandtourismdirectory.go.th/th/restaurants/90891</t>
  </si>
  <si>
    <t xml:space="preserve">https://files.thailandtourismdirectory.go.th/assets/upload/2018/11/05/20181105c4ca4238a0b923820dcc509a6f75849b121615.jpg</t>
  </si>
  <si>
    <t xml:space="preserve">Me Seoul (มีโซล มาม่าหม้อไฟเกาหลี)</t>
  </si>
  <si>
    <t xml:space="preserve">52 ถนน กระ ตำบล ตลาดใหญ่ อำเภอเมืองภูเก็ต ภูเก็ต 83000</t>
  </si>
  <si>
    <t xml:space="preserve">094 421 6453</t>
  </si>
  <si>
    <t xml:space="preserve">https://www.facebook.com/Meseoul.pk/</t>
  </si>
  <si>
    <t xml:space="preserve">Me Seoul (มีโซล มาม่าหม้อไฟเกาหลี) 
ที่อยู่ 52 ถนน กระ ตำบล ตลาดใหญ่ อำเภอเมืองภูเก็ต ภูเก็ต 83000</t>
  </si>
  <si>
    <t xml:space="preserve">https://thailandtourismdirectory.go.th/th/restaurants/91413</t>
  </si>
  <si>
    <t xml:space="preserve">https://files.thailandtourismdirectory.go.th/assets/upload/2018/11/12/20181112c4ca4238a0b923820dcc509a6f75849b103711.jpg</t>
  </si>
  <si>
    <t xml:space="preserve">Mellow Yellow Toast &amp; Bistro</t>
  </si>
  <si>
    <t xml:space="preserve">ของหวาน, เครื่องดื่ม/น้ำผลไม้/ชานมไข่มุก, อาหารฟิวชั่น</t>
  </si>
  <si>
    <t xml:space="preserve">086 948 6948</t>
  </si>
  <si>
    <t xml:space="preserve">https://www.facebook.com/mellowyellow.tea/</t>
  </si>
  <si>
    <t xml:space="preserve">Mellow Yellow Toast &amp; Bistro
ที่อยู่ 59 ถนน รัษฎา ตำบล ตลาดเหนือ อำเภอเมืองภูเก็ต ภูเก็ต 83000</t>
  </si>
  <si>
    <t xml:space="preserve">https://thailandtourismdirectory.go.th/th/restaurants/90840</t>
  </si>
  <si>
    <t xml:space="preserve">https://files.thailandtourismdirectory.go.th/assets/upload/2018/11/02/20181102c4ca4238a0b923820dcc509a6f75849b095009.jpg</t>
  </si>
  <si>
    <t xml:space="preserve">Mirror Mirror</t>
  </si>
  <si>
    <t xml:space="preserve">อาหารอิตาเลียน, อาหารฝรั่งเศส, อาหารอเมริกัน</t>
  </si>
  <si>
    <t xml:space="preserve">25 ถนน ดีบุก ตำบล ตลาดเหนือ อำเภอเมืองภูเก็ต ภูเก็ต 83000</t>
  </si>
  <si>
    <t xml:space="preserve">089 796 9956</t>
  </si>
  <si>
    <t xml:space="preserve">https://www.facebook.com/mirrormirrorphukettown/</t>
  </si>
  <si>
    <t xml:space="preserve">Mon 17:00-23:00; Tu 17:00-23:00; Wed 17:00-23:00; Thu 17:00-23:00; Fri 17:00-23:00; Sat 17:00-23:00</t>
  </si>
  <si>
    <t xml:space="preserve">Mirror Mirror
ที่อยู่ 25 ถนน ดีบุก ตำบล ตลาดเหนือ อำเภอเมืองภูเก็ต ภูเก็ต 83000</t>
  </si>
  <si>
    <t xml:space="preserve">https://thailandtourismdirectory.go.th/th/restaurants/90878</t>
  </si>
  <si>
    <t xml:space="preserve">https://files.thailandtourismdirectory.go.th/assets/upload/2018/11/05/20181105c4ca4238a0b923820dcc509a6f75849b090614.jpg</t>
  </si>
  <si>
    <t xml:space="preserve">Mom's Cafe &amp; Seafood Garden (มัมคาเฟ่)</t>
  </si>
  <si>
    <t xml:space="preserve">อาหารไทย, อาหารจานเดียว/ตามสั่ง, คาเฟ่</t>
  </si>
  <si>
    <t xml:space="preserve">4030 ตำบล เทพกระษัตรี อำเภอ ถลาง ภูเก็ต 83110</t>
  </si>
  <si>
    <t xml:space="preserve">เทพกระษัตรี</t>
  </si>
  <si>
    <t xml:space="preserve">098-670-9123</t>
  </si>
  <si>
    <t xml:space="preserve">https://www.facebook.com/momcafephuket/</t>
  </si>
  <si>
    <t xml:space="preserve">Mom's Cafe &amp; Seafood Garden (มัมคาเฟ่) 
ที่อยู่ 4030 ตำบล เทพกระษัตรี อำเภอ ถลาง ภูเก็ต 83110</t>
  </si>
  <si>
    <t xml:space="preserve">https://thailandtourismdirectory.go.th/th/restaurants/91457</t>
  </si>
  <si>
    <t xml:space="preserve">https://files.thailandtourismdirectory.go.th/assets/upload/2018/11/13/20181113c4ca4238a0b923820dcc509a6f75849b112344.jpg</t>
  </si>
  <si>
    <t xml:space="preserve">Monkey Cafe</t>
  </si>
  <si>
    <t xml:space="preserve">36 ถนน อ๋องซิมผ่าย ตำบล ตลาดใหญ่ อำเภอเมืองภูเก็ต ภูเก็ต 83000</t>
  </si>
  <si>
    <t xml:space="preserve">076 222 266</t>
  </si>
  <si>
    <t xml:space="preserve">https://www.facebook.com/168cups/</t>
  </si>
  <si>
    <t xml:space="preserve">Monkey Café
ที่อยู่ 36 ถนน อ๋องซิมผ่าย ตำบล ตลาดใหญ่ อำเภอเมืองภูเก็ต ภูเก็ต 83000</t>
  </si>
  <si>
    <t xml:space="preserve">https://thailandtourismdirectory.go.th/th/restaurants/91253</t>
  </si>
  <si>
    <t xml:space="preserve">https://files.thailandtourismdirectory.go.th/assets/upload/2018/11/08/20181108c4ca4238a0b923820dcc509a6f75849b111108.jpg</t>
  </si>
  <si>
    <t xml:space="preserve">Monkeypod Coffeehouse</t>
  </si>
  <si>
    <t xml:space="preserve">อาหารจานเดียว/ตามสั่ง, อาหารนานาชาติ, คาเฟ่</t>
  </si>
  <si>
    <t xml:space="preserve">087 909 5252</t>
  </si>
  <si>
    <t xml:space="preserve">https://www.facebook.com/MonkeypodCoffeehouse/</t>
  </si>
  <si>
    <t xml:space="preserve">Mon 08:30-20:30; Tu 08:30-20:30; Wed 08:30-20:30; Thu 08:30-20:30; Fri 08:30-20:30; Sat 08:30-20:30; Sun 08:30-20:30</t>
  </si>
  <si>
    <t xml:space="preserve">Monkeypod Coffeehouse 
ที่อยู่ 4027 ตำบล ป่าคลอก อำเภอ ถลาง ภูเก็ต 83110</t>
  </si>
  <si>
    <t xml:space="preserve">https://thailandtourismdirectory.go.th/th/restaurants/91430</t>
  </si>
  <si>
    <t xml:space="preserve">https://files.thailandtourismdirectory.go.th/assets/upload/2018/11/12/20181112c4ca4238a0b923820dcc509a6f75849b142942.jpg</t>
  </si>
  <si>
    <t xml:space="preserve">Mustard Cafe Baking Studio (มัสตาท คาเฟ่)</t>
  </si>
  <si>
    <t xml:space="preserve">ซอย ธิดา ตำบล รัษฎา อำเภอเมืองภูเก็ต ภูเก็ต 83000</t>
  </si>
  <si>
    <t xml:space="preserve">085 169 5696</t>
  </si>
  <si>
    <t xml:space="preserve">https://www.facebook.com/mustardphuket/</t>
  </si>
  <si>
    <t xml:space="preserve">Mustard Cafe Baking Studio (มัสตาท คาเฟ่) 
ที่อยู่ ซอย ธิดา ตำบล รัษฎา อำเภอเมืองภูเก็ต ภูเก็ต 83000</t>
  </si>
  <si>
    <t xml:space="preserve">https://thailandtourismdirectory.go.th/th/restaurants/91188</t>
  </si>
  <si>
    <t xml:space="preserve">https://files.thailandtourismdirectory.go.th/assets/upload/2018/11/07/20181107c4ca4238a0b923820dcc509a6f75849b142853.jpg</t>
  </si>
  <si>
    <t xml:space="preserve">My Cafe</t>
  </si>
  <si>
    <t xml:space="preserve">เบเกอรี/เค้ก, ของหวาน, คาเฟ่</t>
  </si>
  <si>
    <t xml:space="preserve">099 362 4465</t>
  </si>
  <si>
    <t xml:space="preserve">https://www.facebook.com/mycafe.dessert/</t>
  </si>
  <si>
    <t xml:space="preserve">Mon 11:00-22:00; Tu 11:00-22:00; Wed 11:00-22:00; Thu 11:00-22:00; Fri 11:00-22:00; Sat 10:00-22:00; Sun 10:00-22:00</t>
  </si>
  <si>
    <t xml:space="preserve">My Cafe 
ที่อยู่ 59 ถนน รัษฎา ตำบล ตลาดเหนือ อำเภอเมืองภูเก็ต ภูเก็ต 83000</t>
  </si>
  <si>
    <t xml:space="preserve">https://thailandtourismdirectory.go.th/th/restaurants/90851</t>
  </si>
  <si>
    <t xml:space="preserve">https://files.thailandtourismdirectory.go.th/assets/upload/2018/11/02/20181102c4ca4238a0b923820dcc509a6f75849b113156.jpg</t>
  </si>
  <si>
    <t xml:space="preserve">Myth Coffee Bar &amp; Hangout Space</t>
  </si>
  <si>
    <t xml:space="preserve">095 187 9146</t>
  </si>
  <si>
    <t xml:space="preserve">https://www.facebook.com/Myth-%E0%B8%A1%E0%B8%B4%E0%B8%98-Coffee-Bar-Hangout-Space-418686605215331/</t>
  </si>
  <si>
    <t xml:space="preserve">Mon 09:30-19:30; Tu 09:30-19:30; Wed 09:30-19:30; Thu 09:30-19:30; Fri 09:30-19:30; Sat 09:30-19:30; Sun 09:30-19:30</t>
  </si>
  <si>
    <t xml:space="preserve">Myth Coffee Bar &amp; Hangout Space
ที่อยู่ 4021 ตำบล ฉลอง อำเภอเมืองภูเก็ต ภูเก็ต 83000</t>
  </si>
  <si>
    <t xml:space="preserve">https://thailandtourismdirectory.go.th/th/restaurants/92971</t>
  </si>
  <si>
    <t xml:space="preserve">https://files.thailandtourismdirectory.go.th/assets/upload/2018/11/19/20181119c4ca4238a0b923820dcc509a6f75849b103805.jpg</t>
  </si>
  <si>
    <t xml:space="preserve">N1 Cafe &amp; Green (เอ็นวัน คาเฟ่)</t>
  </si>
  <si>
    <t xml:space="preserve">อาหารคลีน/สลัด, อาหารฟิวชั่น, อาหารอเมริกัน</t>
  </si>
  <si>
    <t xml:space="preserve">086 454 2466</t>
  </si>
  <si>
    <t xml:space="preserve">https://www.facebook.com/n1cafeandgreen/</t>
  </si>
  <si>
    <t xml:space="preserve">N1 Cafe &amp; Green (เอ็นวัน คาเฟ่) 
ที่อยู่ ถนน เจ้าฟ้าตะวันตก ตำบล รัษฎา อำเภอเมืองภูเก็ต ภูเก็ต 83000</t>
  </si>
  <si>
    <t xml:space="preserve">https://thailandtourismdirectory.go.th/th/restaurants/91429</t>
  </si>
  <si>
    <t xml:space="preserve">https://files.thailandtourismdirectory.go.th/assets/upload/2018/11/12/20181112c4ca4238a0b923820dcc509a6f75849b142101.jpg</t>
  </si>
  <si>
    <t xml:space="preserve">NITO Nitro Drink</t>
  </si>
  <si>
    <t xml:space="preserve">17 ถนน ถลาง ตำบล ตลาดใหญ่ อำเภอเมืองภูเก็ต ภูเก็ต 83000</t>
  </si>
  <si>
    <t xml:space="preserve">091 037 6746</t>
  </si>
  <si>
    <t xml:space="preserve">https://www.facebook.com/NitoNitroDrinkPhuket/</t>
  </si>
  <si>
    <t xml:space="preserve">Tu 11:00-19:00; Wed 11:00-19:00; Thu 11:00-19:00; Fri 11:00-19:00; Sat 11:00-19:00; Sun 12:00-22:00</t>
  </si>
  <si>
    <t xml:space="preserve">NITO Nitro Drink 
ที่อยู่ 17 ถนน ถลาง ตำบล ตลาดใหญ่ อำเภอเมืองภูเก็ต ภูเก็ต 83000</t>
  </si>
  <si>
    <t xml:space="preserve">https://thailandtourismdirectory.go.th/th/restaurants/91288</t>
  </si>
  <si>
    <t xml:space="preserve">https://files.thailandtourismdirectory.go.th/assets/upload/2018/11/08/20181108c4ca4238a0b923820dcc509a6f75849b144452.jpg</t>
  </si>
  <si>
    <t xml:space="preserve">Naughty Nuri’s Phuket</t>
  </si>
  <si>
    <t xml:space="preserve">ถนน ราษฏร์อุทิศ 200 ปี ตำบลป่าตอง อำเภอ กะทู้ ภูเก็ต 83150</t>
  </si>
  <si>
    <t xml:space="preserve">076 340 308</t>
  </si>
  <si>
    <t xml:space="preserve">https://www.facebook.com/nnphuket/</t>
  </si>
  <si>
    <t xml:space="preserve">Mon 12:00-23:59; Tu 12:00-23:59; Wed 12:00-23:59; Thu 12:00-23:59; Fri 12:00-23:59; Sat 12:00-23:59; Sun 12:00-23:59</t>
  </si>
  <si>
    <t xml:space="preserve">Naughty Nuri’s Phuket
ที่อยู่ ถนน ราษฏร์อุทิศ 200 ปี ตำบลป่าตอง อำเภอ กะทู้ ภูเก็ต 83150</t>
  </si>
  <si>
    <t xml:space="preserve">https://thailandtourismdirectory.go.th/th/restaurants/91186</t>
  </si>
  <si>
    <t xml:space="preserve">https://files.thailandtourismdirectory.go.th/assets/upload/2018/11/07/201811072b541eceea4f20a93fe74398a9ca1e80142405.png</t>
  </si>
  <si>
    <t xml:space="preserve">No.21 food&amp;dessert</t>
  </si>
  <si>
    <t xml:space="preserve">ของหวาน, อาหารจานเดียว/ตามสั่ง</t>
  </si>
  <si>
    <t xml:space="preserve">ถนน เทพกระษัตรี ตำบล ตลาดใหญ่ อำเภอเมืองภูเก็ต ภูเก็ต 83000</t>
  </si>
  <si>
    <t xml:space="preserve">0874720438</t>
  </si>
  <si>
    <t xml:space="preserve">https://www.facebook.com/no.21Fooddessert/</t>
  </si>
  <si>
    <t xml:space="preserve">Mon 10:30-21:00; Tu 10:30-21:00; Wed 10:30-21:00; Thu 10:30-21:00; Fri 10:30-21:00; Sat 10:00-21:00</t>
  </si>
  <si>
    <t xml:space="preserve">No.21 food&amp;dessert 
ที่อยู่ ถนน เทพกระษัตรี ตำบล ตลาดใหญ่ อำเภอเมืองภูเก็ต ภูเก็ต 83000</t>
  </si>
  <si>
    <t xml:space="preserve">https://thailandtourismdirectory.go.th/th/restaurants/91343</t>
  </si>
  <si>
    <t xml:space="preserve">https://files.thailandtourismdirectory.go.th/assets/upload/2018/11/09/20181109c4ca4238a0b923820dcc509a6f75849b112555.jpg</t>
  </si>
  <si>
    <t xml:space="preserve">Norkchan Cafe'</t>
  </si>
  <si>
    <t xml:space="preserve">ร้านกาแฟ/ชา, อาหารนานาชาติ</t>
  </si>
  <si>
    <t xml:space="preserve">095 425 8498</t>
  </si>
  <si>
    <t xml:space="preserve">https://www.facebook.com/Norkchandesign/</t>
  </si>
  <si>
    <t xml:space="preserve">Norkchan Cafe' 
ที่อยู่ ถนน เจ้าฟ้าตะวันตก ตำบล รัษฎา อำเภอเมืองภูเก็ต ภูเก็ต 83000</t>
  </si>
  <si>
    <t xml:space="preserve">https://thailandtourismdirectory.go.th/th/restaurants/91746</t>
  </si>
  <si>
    <t xml:space="preserve">https://files.thailandtourismdirectory.go.th/assets/upload/2018/11/14/20181114c4ca4238a0b923820dcc509a6f75849b100556.jpg</t>
  </si>
  <si>
    <t xml:space="preserve">O-oh Farm Ta-eiad (โอ๊ะโฮฟาร์มตาเอียด)</t>
  </si>
  <si>
    <t xml:space="preserve">อาหารคลีน/สลัด, อาหารฟิวชั่น, อาหารนานาชาติ</t>
  </si>
  <si>
    <t xml:space="preserve">18 ถนน เจ้าฟ้าตะวันตก ตำบล ฉลอง อำเภอเมืองภูเก็ต ภูเก็ต 83000</t>
  </si>
  <si>
    <t xml:space="preserve">088 762 4834</t>
  </si>
  <si>
    <t xml:space="preserve">https://www.facebook.com/oohfarmcafeorganictaeiad/</t>
  </si>
  <si>
    <t xml:space="preserve">O-oh Farm Ta-eiad (โอ๊ะโฮฟาร์มตาเอียด) 
ที่อยู่ 18 ถนน เจ้าฟ้าตะวันตก ตำบล ฉลอง อำเภอเมืองภูเก็ต ภูเก็ต 83000</t>
  </si>
  <si>
    <t xml:space="preserve">https://thailandtourismdirectory.go.th/th/restaurants/91485</t>
  </si>
  <si>
    <t xml:space="preserve">https://files.thailandtourismdirectory.go.th/assets/upload/2018/11/13/20181113c4ca4238a0b923820dcc509a6f75849b143520.jpg</t>
  </si>
  <si>
    <t xml:space="preserve">OHO Restaurant</t>
  </si>
  <si>
    <t xml:space="preserve">อาหารมุสลิม/อิสลาม, อาหารอเมริกัน, ฟาสต์ฟู้ด/จานด่วน</t>
  </si>
  <si>
    <t xml:space="preserve">080 067 7052</t>
  </si>
  <si>
    <t xml:space="preserve">https://www.facebook.com/ohorestaurants/</t>
  </si>
  <si>
    <t xml:space="preserve">Mon 00:00-02:00; Mon 06:00-23:59; Tu 00:00-02:00; Tu 06:00-23:59; Wed 00:00-02:00; Wed 06:00-23:59; Thu 00:00-02:00; Thu 06:00-23:59; Fri 00:00-02:00; Fri 06:00-23:59; Sat 00:00-02:00; Sat 06:00-23:59</t>
  </si>
  <si>
    <t xml:space="preserve">OHO Restaurant
ที่อยู่ Thanon Chao Fa, ตำบล ตลาดเหนือ อำเภอเมืองภูเก็ต ภูเก็ต 83000</t>
  </si>
  <si>
    <t xml:space="preserve">https://thailandtourismdirectory.go.th/th/restaurants/91968</t>
  </si>
  <si>
    <t xml:space="preserve">https://files.thailandtourismdirectory.go.th/assets/upload/2018/11/15/20181115c4ca4238a0b923820dcc509a6f75849b134104.jpg</t>
  </si>
  <si>
    <t xml:space="preserve">ONLY Cheese Phuket at Kathu</t>
  </si>
  <si>
    <t xml:space="preserve">7/18 ซอย ดารา ตำบล กะทู้ อำเภอ กะทู้ ภูเก็ต 83120</t>
  </si>
  <si>
    <t xml:space="preserve">095 027 0283</t>
  </si>
  <si>
    <t xml:space="preserve">https://www.facebook.com/ONLY-Cheese-Phuket-at-Kathu-064-8573007-241121466227927/</t>
  </si>
  <si>
    <t xml:space="preserve">Tu 11:00-21:30; Wed 11:00-21:30; Thu 11:00-21:30; Fri 11:00-21:30; Sat 11:00-21:30; Sun 11:00-21:30</t>
  </si>
  <si>
    <t xml:space="preserve">ONLY Cheese Phuket at Kathu
ที่อยู่ 7/18 ซอย ดารา ตำบล กะทู้ อำเภอ กะทู้ ภูเก็ต 83120</t>
  </si>
  <si>
    <t xml:space="preserve">https://thailandtourismdirectory.go.th/th/restaurants/91161</t>
  </si>
  <si>
    <t xml:space="preserve">https://files.thailandtourismdirectory.go.th/assets/upload/2018/11/07/20181107c4ca4238a0b923820dcc509a6f75849b112918.jpg</t>
  </si>
  <si>
    <t xml:space="preserve">OSOT (โอสถ)</t>
  </si>
  <si>
    <t xml:space="preserve">อาหารเช้า, พิซซ่า, อาหารอิตาเลียน</t>
  </si>
  <si>
    <t xml:space="preserve">42 ถนน ภูเก็ต ตำบล ตลาดใหญ่ อำเภอเมืองภูเก็ต ภูเก็ต 83000</t>
  </si>
  <si>
    <t xml:space="preserve">081 894 6198</t>
  </si>
  <si>
    <t xml:space="preserve">https://www.facebook.com/OSOT.Phuket/</t>
  </si>
  <si>
    <t xml:space="preserve">Mon 11:00-23:00; Tu 11:00-23:00; Thu 11:00-23:00; Fri 11:00-23:00; Sat 11:00-23:00; Sun 11:00-23:00</t>
  </si>
  <si>
    <t xml:space="preserve">OSOT (โอสถ) 
ที่อยู่ 42 ถนน ภูเก็ต ตำบล ตลาดใหญ่ อำเภอเมืองภูเก็ต ภูเก็ต 83000</t>
  </si>
  <si>
    <t xml:space="preserve">https://thailandtourismdirectory.go.th/th/restaurants/91277</t>
  </si>
  <si>
    <t xml:space="preserve">https://files.thailandtourismdirectory.go.th/assets/upload/2018/11/08/20181108c4ca4238a0b923820dcc509a6f75849b140205.jpg</t>
  </si>
  <si>
    <t xml:space="preserve">Ombre Bar &amp; Restaurant</t>
  </si>
  <si>
    <t xml:space="preserve">1 ปฏัก ซอย 16 ตำบล กะรน อำเภอเมืองภูเก็ต ภูเก็ต 83100</t>
  </si>
  <si>
    <t xml:space="preserve">076 396 905</t>
  </si>
  <si>
    <t xml:space="preserve">https://www.facebook.com/hotelikonphuket/</t>
  </si>
  <si>
    <t xml:space="preserve">Ombre Bar &amp; Restaurant
ที่อยู่ 1 ปฏัก ซอย 16 ตำบล กะรน อำเภอเมืองภูเก็ต ภูเก็ต 83100</t>
  </si>
  <si>
    <t xml:space="preserve">https://thailandtourismdirectory.go.th/th/restaurants/91939</t>
  </si>
  <si>
    <t xml:space="preserve">https://files.thailandtourismdirectory.go.th/assets/upload/2018/11/15/20181115032d9566af8c82bc330f0198db93d256111438.png</t>
  </si>
  <si>
    <t xml:space="preserve">On The Way - street cafe' phuket</t>
  </si>
  <si>
    <t xml:space="preserve">ถนน กระ ตำบล ตลาดใหญ่ อำเภอเมืองภูเก็ต ภูเก็ต 83000</t>
  </si>
  <si>
    <t xml:space="preserve">099 313 5125</t>
  </si>
  <si>
    <t xml:space="preserve">https://www.facebook.com/onthewaystreetcafephuket/</t>
  </si>
  <si>
    <t xml:space="preserve">Mon 08:00-15:00; Tu 08:00-15:00; Wed 08:00-15:00; Thu 08:00-15:00; Fri 08:00-15:00; Sat 08:00-15:00</t>
  </si>
  <si>
    <t xml:space="preserve">On The Way - street cafe' Phuket
ที่อยู่ ถนน กระ ตำบล ตลาดใหญ่ อำเภอเมืองภูเก็ต ภูเก็ต 83000</t>
  </si>
  <si>
    <t xml:space="preserve">https://thailandtourismdirectory.go.th/th/restaurants/91460</t>
  </si>
  <si>
    <t xml:space="preserve">https://files.thailandtourismdirectory.go.th/assets/upload/2018/11/13/20181113c4ca4238a0b923820dcc509a6f75849b113437.jpg</t>
  </si>
  <si>
    <t xml:space="preserve">Origami Cafe</t>
  </si>
  <si>
    <t xml:space="preserve">เบเกอรี/เค้ก, อาหารเช้า, เครื่องดื่ม/น้ำผลไม้/ชานมไข่มุก</t>
  </si>
  <si>
    <t xml:space="preserve">915 ซอย พัฒนา ตำบล ราไวย์ อำเภอเมืองภูเก็ต ภูเก็ต 83100</t>
  </si>
  <si>
    <t xml:space="preserve">098 406 6008</t>
  </si>
  <si>
    <t xml:space="preserve">https://www.facebook.com/OrigamiCafeThailand/</t>
  </si>
  <si>
    <t xml:space="preserve">Mon 10:00-18:00; Tu 10:00-18:00; Wed 10:00-18:00; Thu 10:00-18:00; Fri 10:00-18:00; Sat 10:00-18:00; Sun 10:00-18:00</t>
  </si>
  <si>
    <t xml:space="preserve">Origami Cafe 
ที่อยู่ 915 ซอย พัฒนา ตำบล ราไวย์ อำเภอเมืองภูเก็ต ภูเก็ต 83100</t>
  </si>
  <si>
    <t xml:space="preserve">https://thailandtourismdirectory.go.th/th/restaurants/92089</t>
  </si>
  <si>
    <t xml:space="preserve">https://files.thailandtourismdirectory.go.th/assets/upload/2018/11/16/20181116c4ca4238a0b923820dcc509a6f75849b104433.jpg</t>
  </si>
  <si>
    <t xml:space="preserve">PIER 88 (เพียร์ 88)</t>
  </si>
  <si>
    <t xml:space="preserve">เบเกอรี/เค้ก, อาหารฟิวชั่น</t>
  </si>
  <si>
    <t xml:space="preserve">Unnamed Road, ตำบล ป่าคลอก อำเภอ ถลาง ภูเก็ต 83110</t>
  </si>
  <si>
    <t xml:space="preserve">093 579 7236</t>
  </si>
  <si>
    <t xml:space="preserve">https://www.facebook.com/pier88seafood/</t>
  </si>
  <si>
    <t xml:space="preserve">PIER 88 (เพียร์ 88) 
ที่อยู่ Unnamed Road, ตำบล ป่าคลอก อำเภอ ถลาง ภูเก็ต 83110</t>
  </si>
  <si>
    <t xml:space="preserve">https://thailandtourismdirectory.go.th/th/restaurants/91440</t>
  </si>
  <si>
    <t xml:space="preserve">https://files.thailandtourismdirectory.go.th/assets/upload/2018/11/12/20181112c4ca4238a0b923820dcc509a6f75849b155035.jpg</t>
  </si>
  <si>
    <t xml:space="preserve">PINTO KARON</t>
  </si>
  <si>
    <t xml:space="preserve">อาหารเช้า, อาหารใต้, อาหารนานาชาติ</t>
  </si>
  <si>
    <t xml:space="preserve">103 ปฏัก ซอย 22 ตำบล กะรน อำเภอเมืองภูเก็ต ภูเก็ต 83100</t>
  </si>
  <si>
    <t xml:space="preserve">076 396 023</t>
  </si>
  <si>
    <t xml:space="preserve">https://www.facebook.com/pintokaron/</t>
  </si>
  <si>
    <t xml:space="preserve">PINTO KARON
ที่อยู่ 103 ปฏัก ซอย 22 ตำบล กะรน อำเภอเมืองภูเก็ต ภูเก็ต 83100</t>
  </si>
  <si>
    <t xml:space="preserve">https://thailandtourismdirectory.go.th/th/restaurants/91384</t>
  </si>
  <si>
    <t xml:space="preserve">https://files.thailandtourismdirectory.go.th/assets/upload/2018/11/09/20181109c4ca4238a0b923820dcc509a6f75849b150845.jpg</t>
  </si>
  <si>
    <t xml:space="preserve">Pancake Corner</t>
  </si>
  <si>
    <t xml:space="preserve">ร้านกาแฟ/ชา, ของหวาน, ไอศกรีม</t>
  </si>
  <si>
    <t xml:space="preserve">082 419 5445</t>
  </si>
  <si>
    <t xml:space="preserve">https://www.facebook.com/PancakeCornerandTheCoffeeClub/</t>
  </si>
  <si>
    <t xml:space="preserve">Pancake Corner 
ที่อยู่ 25/34 ถนน ภูเก็ต ตำบล รัษฎา อำเภอเมืองภูเก็ต ภูเก็ต 83000</t>
  </si>
  <si>
    <t xml:space="preserve">https://thailandtourismdirectory.go.th/th/restaurants/90816</t>
  </si>
  <si>
    <t xml:space="preserve">https://files.thailandtourismdirectory.go.th/assets/upload/2018/11/01/20181101c4ca4238a0b923820dcc509a6f75849b144730.jpg</t>
  </si>
  <si>
    <t xml:space="preserve">Panwa House</t>
  </si>
  <si>
    <t xml:space="preserve">อาหารไทย, อาหารฟิวชั่น</t>
  </si>
  <si>
    <t xml:space="preserve">ซอย อ่าวน้อย ตำบล รัษฎา อำเภอเมืองภูเก็ต ภูเก็ต 83000</t>
  </si>
  <si>
    <t xml:space="preserve">076 391 123</t>
  </si>
  <si>
    <t xml:space="preserve">https://www.facebook.com/capepanwa/</t>
  </si>
  <si>
    <t xml:space="preserve">Mon 18:30-23:00; Tu 18:30-23:00; Wed 18:30-23:00; Thu 18:30-23:00; Fri 18:30-23:00; Sat 18:30-23:00; Sun 18:30-23:00</t>
  </si>
  <si>
    <t xml:space="preserve">Panwa House 
ที่อยู่ ซอย อ่าวน้อย ตำบล รัษฎา อำเภอเมืองภูเก็ต ภูเก็ต 83000</t>
  </si>
  <si>
    <t xml:space="preserve">https://thailandtourismdirectory.go.th/th/restaurants/90920</t>
  </si>
  <si>
    <t xml:space="preserve">https://files.thailandtourismdirectory.go.th/assets/upload/2018/11/05/20181105c4ca4238a0b923820dcc509a6f75849b143331.jpg</t>
  </si>
  <si>
    <t xml:space="preserve">Papa House Coffee</t>
  </si>
  <si>
    <t xml:space="preserve">61/30 new ตำบล กะทู้ อำเภอ กะทู้ ภูเก็ต 83120</t>
  </si>
  <si>
    <t xml:space="preserve">081 792 3088</t>
  </si>
  <si>
    <t xml:space="preserve">https://www.facebook.com/Papas-House-Coffee-183414568363582/</t>
  </si>
  <si>
    <t xml:space="preserve">Mon 08:00-17:00; Tu 08:00-17:00; Thu 08:00-17:00; Fri 08:00-17:00; Sat 08:00-17:00; Sun 08:00-17:00</t>
  </si>
  <si>
    <t xml:space="preserve">Papa House Coffee 
ที่อยู่ 61/30 new ตำบล กะทู้ อำเภอ กะทู้ ภูเก็ต 83120</t>
  </si>
  <si>
    <t xml:space="preserve">https://thailandtourismdirectory.go.th/th/restaurants/91346</t>
  </si>
  <si>
    <t xml:space="preserve">https://files.thailandtourismdirectory.go.th/assets/upload/2018/11/09/20181109c4ca4238a0b923820dcc509a6f75849b113608.jpg</t>
  </si>
  <si>
    <t xml:space="preserve">Peakaboo Cafe (พีคอะบู คาเฟ่)</t>
  </si>
  <si>
    <t xml:space="preserve">เบเกอรี/เค้ก, เครื่องดื่ม/น้ำผลไม้/ชานมไข่มุก, อาหารฟิวชั่น</t>
  </si>
  <si>
    <t xml:space="preserve">094 598 9156</t>
  </si>
  <si>
    <t xml:space="preserve">https://www.facebook.com/Peakaboocafe/</t>
  </si>
  <si>
    <t xml:space="preserve">Tu 09:00-19:00; Wed 09:00-19:00; Thu 09:00-19:00; Fri 09:00-19:00; Sat 09:00-19:00; Sun 09:00-19:00</t>
  </si>
  <si>
    <t xml:space="preserve">Peakaboo Cafe (พีคอะบู คาเฟ่) 
ที่อยู่ ถนนเยาวราช ตำบล ตลาดเหนือ อำเภอเมืองภูเก็ต ภูเก็ต 83000</t>
  </si>
  <si>
    <t xml:space="preserve">https://thailandtourismdirectory.go.th/th/restaurants/91801</t>
  </si>
  <si>
    <t xml:space="preserve">https://files.thailandtourismdirectory.go.th/assets/upload/2018/11/14/20181114c4ca4238a0b923820dcc509a6f75849b152459.jpg</t>
  </si>
  <si>
    <t xml:space="preserve">Pearl Noodle Cafe (เพิร์ล นู้ดเดิ้ล คาเฟ่)</t>
  </si>
  <si>
    <t xml:space="preserve">อาหารไทย, อาหารจีน</t>
  </si>
  <si>
    <t xml:space="preserve">54 พังงา ซอย 2 ตำบล ตลาดใหญ่ อำเภอเมืองภูเก็ต ภูเก็ต 83000</t>
  </si>
  <si>
    <t xml:space="preserve">076 211 044</t>
  </si>
  <si>
    <t xml:space="preserve">https://www.facebook.com/Pearl-Noodle-Cafe-965012786902105/</t>
  </si>
  <si>
    <t xml:space="preserve">Pearl Noodle Cafe (เพิร์ล นู้ดเดิ้ล คาเฟ่) 
ที่อยู่ 54 พังงา ซอย 2 ตำบล ตลาดใหญ่ อำเภอเมืองภูเก็ต ภูเก็ต 83000</t>
  </si>
  <si>
    <t xml:space="preserve">https://thailandtourismdirectory.go.th/th/restaurants/92119</t>
  </si>
  <si>
    <t xml:space="preserve">https://files.thailandtourismdirectory.go.th/assets/upload/2018/11/16/20181116c4ca4238a0b923820dcc509a6f75849b145624.jpg</t>
  </si>
  <si>
    <t xml:space="preserve">Phuket Fish Market Restaurant</t>
  </si>
  <si>
    <t xml:space="preserve">ซอย มุดง ตำบล ฉลอง อำเภอเมืองภูเก็ต ภูเก็ต 83000</t>
  </si>
  <si>
    <t xml:space="preserve">076374788</t>
  </si>
  <si>
    <t xml:space="preserve">https://www.facebook.com/Phuketfishmarket/</t>
  </si>
  <si>
    <t xml:space="preserve">Phuket Fish Market Restaurant
ที่อยู่ ซอย มุดง ตำบล ฉลอง อำเภอเมืองภูเก็ต ภูเก็ต 83000</t>
  </si>
  <si>
    <t xml:space="preserve">https://thailandtourismdirectory.go.th/th/restaurants/91436</t>
  </si>
  <si>
    <t xml:space="preserve">https://files.thailandtourismdirectory.go.th/assets/upload/2018/11/12/20181112c4ca4238a0b923820dcc509a6f75849b152039.jpg</t>
  </si>
  <si>
    <t xml:space="preserve">Phuket Glass Plates Museum</t>
  </si>
  <si>
    <t xml:space="preserve">123 ถนน พังงา ตำบล ตลาดใหญ่ อำเภอเมืองภูเก็ต ภูเก็ต 83000</t>
  </si>
  <si>
    <t xml:space="preserve">085 924 0600 </t>
  </si>
  <si>
    <t xml:space="preserve">https://www.facebook.com/Phuketglassplatesmuseum/</t>
  </si>
  <si>
    <t xml:space="preserve">Tu 09:00-18:00; Wed 09:00-18:00; Thu 09:00-18:00; Fri 09:00-18:00; Sat 09:00-18:00; Sun 09:00-18:00</t>
  </si>
  <si>
    <t xml:space="preserve">Phuket Glass Plates Museum
ที่อยู่ 123 ถนน พังงา ตำบล ตลาดใหญ่ อำเภอเมืองภูเก็ต ภูเก็ต 83000</t>
  </si>
  <si>
    <t xml:space="preserve">https://thailandtourismdirectory.go.th/th/restaurants/91340</t>
  </si>
  <si>
    <t xml:space="preserve">https://files.thailandtourismdirectory.go.th/assets/upload/2018/11/09/20181109c4ca4238a0b923820dcc509a6f75849b112004.jpg</t>
  </si>
  <si>
    <t xml:space="preserve">Pikgo Coffee &amp; Zakka</t>
  </si>
  <si>
    <t xml:space="preserve">ถนน ภูเก็ต ตำบล ตลาดใหญ่ อำเภอเมืองภูเก็ต ภูเก็ต 83000</t>
  </si>
  <si>
    <t xml:space="preserve">085 058 6567</t>
  </si>
  <si>
    <t xml:space="preserve">https://www.facebook.com/PikgoCafe/</t>
  </si>
  <si>
    <t xml:space="preserve">Pikgo Coffee &amp; Zakka 
ที่อยู่ ถนน ภูเก็ต ตำบล ตลาดใหญ่ อำเภอเมืองภูเก็ต ภูเก็ต 83000</t>
  </si>
  <si>
    <t xml:space="preserve">https://thailandtourismdirectory.go.th/th/restaurants/90817</t>
  </si>
  <si>
    <t xml:space="preserve">https://files.thailandtourismdirectory.go.th/assets/upload/2018/11/01/20181101c4ca4238a0b923820dcc509a6f75849b145129.jpg</t>
  </si>
  <si>
    <t xml:space="preserve">Pim's Bistro &amp; Bakery</t>
  </si>
  <si>
    <t xml:space="preserve">สเต๊ก, อาหารจานเดียว/ตามสั่ง</t>
  </si>
  <si>
    <t xml:space="preserve">089 195 7574</t>
  </si>
  <si>
    <t xml:space="preserve">https://www.facebook.com/pimsbistro/</t>
  </si>
  <si>
    <t xml:space="preserve">Mon 08:00-19:00; Tu 08:00-19:00; Wed 08:00-19:00; Thu 08:00-19:00; Fri 08:00-19:00; Sat 08:00-19:00; Sun 08:00-19:00</t>
  </si>
  <si>
    <t xml:space="preserve">Pim's Bistro &amp; Bakery 
ที่อยู่ 4021 ตำบล ฉลอง อำเภอเมืองภูเก็ต ภูเก็ต 83000</t>
  </si>
  <si>
    <t xml:space="preserve">https://thailandtourismdirectory.go.th/th/restaurants/91477</t>
  </si>
  <si>
    <t xml:space="preserve">https://files.thailandtourismdirectory.go.th/assets/upload/2018/11/13/20181113032d9566af8c82bc330f0198db93d256153154.png</t>
  </si>
  <si>
    <t xml:space="preserve">Pint Factory</t>
  </si>
  <si>
    <t xml:space="preserve">ผับ/เที่ยวกลางคืน, ร้านไวน์, อาหารนานาชาติ</t>
  </si>
  <si>
    <t xml:space="preserve">96 สุทัศน์ ซอย 2 ตำบล ตลาดใหญ่ อำเภอเมืองภูเก็ต ภูเก็ต 83000</t>
  </si>
  <si>
    <t xml:space="preserve">083 643 7974</t>
  </si>
  <si>
    <t xml:space="preserve">https://www.facebook.com/Pintfactory/</t>
  </si>
  <si>
    <t xml:space="preserve">Pint Factory
ที่อยู่ 96 สุทัศน์ ซอย 2 ตำบล ตลาดใหญ่ อำเภอเมืองภูเก็ต ภูเก็ต 83000</t>
  </si>
  <si>
    <t xml:space="preserve">https://thailandtourismdirectory.go.th/th/restaurants/90874</t>
  </si>
  <si>
    <t xml:space="preserve">https://files.thailandtourismdirectory.go.th/assets/upload/2018/11/02/20181102c4ca4238a0b923820dcc509a6f75849b154100.jpg</t>
  </si>
  <si>
    <t xml:space="preserve">Pizzeria AGLI AMICI da Michele</t>
  </si>
  <si>
    <t xml:space="preserve">ซอย เจ้าฟ้า 39 ตำบล ฉลอง อำเภอเมืองภูเก็ต ภูเก็ต 83000</t>
  </si>
  <si>
    <t xml:space="preserve">076 282 172</t>
  </si>
  <si>
    <t xml:space="preserve">https://www.facebook.com/agliamici.phuket/</t>
  </si>
  <si>
    <t xml:space="preserve">Tu 16:00-23:00; Wed 16:00-23:00; Thu 16:00-23:00; Fri 16:00-23:00; Sat 16:00-23:00; Sun 16:00-23:00</t>
  </si>
  <si>
    <t xml:space="preserve">Pizzeria AGLI AMICI da Michele
ที่อยู่ ซอย เจ้าฟ้า 39 ตำบล ฉลอง อำเภอเมืองภูเก็ต ภูเก็ต 83000</t>
  </si>
  <si>
    <t xml:space="preserve">https://thailandtourismdirectory.go.th/th/restaurants/91778</t>
  </si>
  <si>
    <t xml:space="preserve">https://files.thailandtourismdirectory.go.th/assets/upload/2018/11/14/20181114032d9566af8c82bc330f0198db93d256135338.png</t>
  </si>
  <si>
    <t xml:space="preserve">Plum Restaurant</t>
  </si>
  <si>
    <t xml:space="preserve">ตำบล กมลา อำเภอ กะทู้ ภูเก็ต 83120</t>
  </si>
  <si>
    <t xml:space="preserve">กมลา</t>
  </si>
  <si>
    <t xml:space="preserve">076 337 300</t>
  </si>
  <si>
    <t xml:space="preserve">https://www.facebook.com/CapeSienna/</t>
  </si>
  <si>
    <t xml:space="preserve">Mon 18:00-23:30; Tu 18:00-23:30; Wed 18:00-23:30; Thu 18:00-23:30; Fri 18:00-23:30; Sat 18:00-23:30; Sun 18:00-23:30</t>
  </si>
  <si>
    <t xml:space="preserve">Plum Restaurant 
ที่อยู่ ตำบล กมลา อำเภอ กะทู้ ภูเก็ต 83120</t>
  </si>
  <si>
    <t xml:space="preserve">https://thailandtourismdirectory.go.th/th/restaurants/92082</t>
  </si>
  <si>
    <t xml:space="preserve">https://files.thailandtourismdirectory.go.th/assets/upload/2018/11/19/20181119c4ca4238a0b923820dcc509a6f75849b090636.jpg</t>
  </si>
  <si>
    <t xml:space="preserve">PolkaDot Phuket</t>
  </si>
  <si>
    <t xml:space="preserve">ร้านกาแฟ/ชา, ของหวาน, คาเฟ่</t>
  </si>
  <si>
    <t xml:space="preserve">2 ถนน พูนผล ตำบล ตลาดเหนือ อำเภอเมืองภูเก็ต ภูเก็ต 83000</t>
  </si>
  <si>
    <t xml:space="preserve">062 242 5839</t>
  </si>
  <si>
    <t xml:space="preserve">https://www.facebook.com/polkadotphuket/</t>
  </si>
  <si>
    <t xml:space="preserve">Mon 09:30-21:00; Tu 09:30-21:00; Wed 09:30-21:00; Thu 09:30-21:00; Fri 09:30-21:00; Sat 09:30-21:00; Sun 09:30-21:00</t>
  </si>
  <si>
    <t xml:space="preserve">PolkaDot Phuket
ที่อยู่ 2 ถนน พูนผล ตำบล ตลาดเหนือ อำเภอเมืองภูเก็ต ภูเก็ต 83000</t>
  </si>
  <si>
    <t xml:space="preserve">https://thailandtourismdirectory.go.th/th/restaurants/91196</t>
  </si>
  <si>
    <t xml:space="preserve">https://files.thailandtourismdirectory.go.th/assets/upload/2018/11/07/20181107c4ca4238a0b923820dcc509a6f75849b145357.jpg</t>
  </si>
  <si>
    <t xml:space="preserve">Quip Sky Bar</t>
  </si>
  <si>
    <t xml:space="preserve">อาหารไทย, อาหารฟิวชั่น, อาหารนานาชาติ</t>
  </si>
  <si>
    <t xml:space="preserve">108 ถนน รัษฎา ตำบล ตลาดใหญ่ อำเภอเมืองภูเก็ต ภูเก็ต 83000</t>
  </si>
  <si>
    <t xml:space="preserve">084 246 2222</t>
  </si>
  <si>
    <t xml:space="preserve">https://www.facebook.com/QuipBedBreakfastPhuket/</t>
  </si>
  <si>
    <t xml:space="preserve">Quip Sky Bar 
ที่อยู่ 108 ถนน รัษฎา ตำบล ตลาดใหญ่ อำเภอเมืองภูเก็ต ภูเก็ต 83000</t>
  </si>
  <si>
    <t xml:space="preserve">https://thailandtourismdirectory.go.th/th/restaurants/90864</t>
  </si>
  <si>
    <t xml:space="preserve">https://files.thailandtourismdirectory.go.th/assets/upload/2018/11/02/20181102c4ca4238a0b923820dcc509a6f75849b144729.jpg</t>
  </si>
  <si>
    <t xml:space="preserve">Rasta Cafe</t>
  </si>
  <si>
    <t xml:space="preserve">15 ถนน ภูเก็ต ตำบล ตลาดใหญ่ อำเภอเมืองภูเก็ต ภูเก็ต 83000</t>
  </si>
  <si>
    <t xml:space="preserve">088 760 9713</t>
  </si>
  <si>
    <t xml:space="preserve">https://www.facebook.com/Rastacafeandrestaurant/</t>
  </si>
  <si>
    <t xml:space="preserve">Sun 17:00-23:59; Mon 00:00-01:00; Mon 17:00-23:59; Tu 00:00-01:00; Tu 17:00-23:59; Wed 00:00-01:00; Wed 17:00-23:59; Thu 00:00-01:00; Thu 17:00-23:59; Fri 00:00-01:00; Fri 17:00-23:59; Sat 00:00-01:00; Sat 17:00-23:59; Sun 00:00-01:00</t>
  </si>
  <si>
    <t xml:space="preserve">Rasta Cafe 
ที่อยู่ 15 ถนน ภูเก็ต ตำบล ตลาดใหญ่ อำเภอเมืองภูเก็ต ภูเก็ต 83000</t>
  </si>
  <si>
    <t xml:space="preserve">https://thailandtourismdirectory.go.th/th/restaurants/91806</t>
  </si>
  <si>
    <t xml:space="preserve">https://files.thailandtourismdirectory.go.th/assets/upload/2018/11/14/20181114c4ca4238a0b923820dcc509a6f75849b153429.jpg</t>
  </si>
  <si>
    <t xml:space="preserve">Rawai View Cafe' &amp; Bar</t>
  </si>
  <si>
    <t xml:space="preserve">สเต๊ก, อาหารทะเล, อาหารนานาชาติ</t>
  </si>
  <si>
    <t xml:space="preserve">3047 ตำบล ราไวย์ อำเภอเมืองภูเก็ต ภูเก็ต</t>
  </si>
  <si>
    <t xml:space="preserve">096 875 7154</t>
  </si>
  <si>
    <t xml:space="preserve">https://www.facebook.com/rawaiview/</t>
  </si>
  <si>
    <t xml:space="preserve">Tu 11:00-23:00; Wed 11:00-23:00; Thu 11:00-23:00; Fri 11:00-23:00; Sat 11:00-23:00; Sun 11:00-23:00</t>
  </si>
  <si>
    <t xml:space="preserve">Rawai View Cafe' &amp; Bar 
ที่อยู่ 3047 ตำบล ราไวย์ อำเภอเมืองภูเก็ต ภูเก็ต</t>
  </si>
  <si>
    <t xml:space="preserve">https://thailandtourismdirectory.go.th/th/restaurants/90855</t>
  </si>
  <si>
    <t xml:space="preserve">https://files.thailandtourismdirectory.go.th/assets/upload/2018/11/02/20181102c4ca4238a0b923820dcc509a6f75849b134618.jpg</t>
  </si>
  <si>
    <t xml:space="preserve">Re Ka Ta</t>
  </si>
  <si>
    <t xml:space="preserve">ร้านริมน้ำ, ร้านไวน์</t>
  </si>
  <si>
    <t xml:space="preserve">076 330 421</t>
  </si>
  <si>
    <t xml:space="preserve">https://www.facebook.com/rekatabeachclub/</t>
  </si>
  <si>
    <t xml:space="preserve">Mon 07:00-20:00; Tu 07:00-20:00; Wed 07:00-20:00; Thu 07:00-20:00; Fri 07:00-20:00; Sat 07:00-20:00; Sun 07:00-20:00</t>
  </si>
  <si>
    <t xml:space="preserve">Re Ka Ta 
ที่อยู่ 4233 ตำบล กะรน อำเภอเมืองภูเก็ต ภูเก็ต 83100</t>
  </si>
  <si>
    <t xml:space="preserve">https://thailandtourismdirectory.go.th/th/restaurants/92952</t>
  </si>
  <si>
    <t xml:space="preserve">https://files.thailandtourismdirectory.go.th/assets/upload/2018/11/19/20181119c4ca4238a0b923820dcc509a6f75849b130134.jpg</t>
  </si>
  <si>
    <t xml:space="preserve">Richy Phuket (ริชชี่)</t>
  </si>
  <si>
    <t xml:space="preserve">เบเกอรี/เค้ก, อาหารไทย, อาหารคลีน/สลัด</t>
  </si>
  <si>
    <t xml:space="preserve">52/17 ถนน วิชิตสงคราม ตำบล รัษฎา อำเภอเมืองภูเก็ต ภูเก็ต 83000</t>
  </si>
  <si>
    <t xml:space="preserve">076 234 332</t>
  </si>
  <si>
    <t xml:space="preserve">https://www.facebook.com/Richy-Bakery-280022778771569/</t>
  </si>
  <si>
    <t xml:space="preserve">Mon 10:00-21:30; Tu 10:00-21:30; Thu 10:00-21:30; Fri 10:00-21:30; Sat 10:00-21:30; Sun 10:00-21:30</t>
  </si>
  <si>
    <t xml:space="preserve">Richy Phuket (ริชชี่)
ที่อยู่ 52/17 ถนน วิชิตสงคราม ตำบล รัษฎา อำเภอเมืองภูเก็ต ภูเก็ต 83000</t>
  </si>
  <si>
    <t xml:space="preserve">https://thailandtourismdirectory.go.th/th/restaurants/91475</t>
  </si>
  <si>
    <t xml:space="preserve">https://files.thailandtourismdirectory.go.th/assets/upload/2018/11/13/20181113c4ca4238a0b923820dcc509a6f75849b135952.jpg</t>
  </si>
  <si>
    <t xml:space="preserve">Rin Rin Bubble Milk Tea</t>
  </si>
  <si>
    <t xml:space="preserve">ถนน วิชิตสงคราม ตำบล ตลาดเหนือ อำเภอเมืองภูเก็ต ภูเก็ต 83000</t>
  </si>
  <si>
    <t xml:space="preserve">064 720 9708</t>
  </si>
  <si>
    <t xml:space="preserve">https://www.facebook.com/Whantata/</t>
  </si>
  <si>
    <t xml:space="preserve">Rin Rin Bubble Milk Tea
ที่อยู่ ถนน วิชิตสงคราม ตำบล ตลาดเหนือ อำเภอเมืองภูเก็ต ภูเก็ต 83000</t>
  </si>
  <si>
    <t xml:space="preserve">https://thailandtourismdirectory.go.th/th/restaurants/91443</t>
  </si>
  <si>
    <t xml:space="preserve">https://files.thailandtourismdirectory.go.th/assets/upload/2018/11/12/20181112c4ca4238a0b923820dcc509a6f75849b161347.jpg</t>
  </si>
  <si>
    <t xml:space="preserve">Rock &amp; Baby</t>
  </si>
  <si>
    <t xml:space="preserve">0862728881</t>
  </si>
  <si>
    <t xml:space="preserve">https://www.facebook.com/rockandbabytea/</t>
  </si>
  <si>
    <t xml:space="preserve">Rock &amp; Baby
ที่อยู่ 4020 ตำบล รัษฎา อำเภอเมืองภูเก็ต ภูเก็ต 83000</t>
  </si>
  <si>
    <t xml:space="preserve">https://thailandtourismdirectory.go.th/th/restaurants/91931</t>
  </si>
  <si>
    <t xml:space="preserve">https://files.thailandtourismdirectory.go.th/assets/upload/2018/11/15/20181115c4ca4238a0b923820dcc509a6f75849b091144.jpg</t>
  </si>
  <si>
    <t xml:space="preserve">Rose Espresso</t>
  </si>
  <si>
    <t xml:space="preserve">15 ถนน กระบี่ ตำบล ตลาดเหนือ อำเภอเมืองภูเก็ต ภูเก็ต 83000</t>
  </si>
  <si>
    <t xml:space="preserve">089 774 5321</t>
  </si>
  <si>
    <t xml:space="preserve">https://www.facebook.com/Rose-Espresso-164754713589677/</t>
  </si>
  <si>
    <t xml:space="preserve">Mon 08:30-18:00; Tu 08:30-18:00; Wed 08:30-18:00; Thu 08:30-18:00; Fri 08:30-18:00; Sat 08:30-18:00; Sun 08:30-18:00</t>
  </si>
  <si>
    <t xml:space="preserve">Rose Espresso
ที่อยู่ 15 ถนน กระบี่ ตำบล ตลาดเหนือ อำเภอเมืองภูเก็ต ภูเก็ต 83000</t>
  </si>
  <si>
    <t xml:space="preserve">https://thailandtourismdirectory.go.th/th/restaurants/91455</t>
  </si>
  <si>
    <t xml:space="preserve">https://files.thailandtourismdirectory.go.th/assets/upload/2018/11/13/20181113c4ca4238a0b923820dcc509a6f75849b101141.jpg</t>
  </si>
  <si>
    <t xml:space="preserve">Roy Dee</t>
  </si>
  <si>
    <t xml:space="preserve">076-688888 </t>
  </si>
  <si>
    <t xml:space="preserve">https://www.facebook.com/nookdeephuket/</t>
  </si>
  <si>
    <t xml:space="preserve">Roy Dee 
ที่อยู่ 4233 ตำบล กะรน อำเภอเมืองภูเก็ต ภูเก็ต 83100</t>
  </si>
  <si>
    <t xml:space="preserve">https://thailandtourismdirectory.go.th/th/restaurants/90922</t>
  </si>
  <si>
    <t xml:space="preserve">https://files.thailandtourismdirectory.go.th/assets/upload/2018/11/05/20181105c4ca4238a0b923820dcc509a6f75849b143956.jpg</t>
  </si>
  <si>
    <t xml:space="preserve">Rush Coffee</t>
  </si>
  <si>
    <t xml:space="preserve">062-075-2392 </t>
  </si>
  <si>
    <t xml:space="preserve">https://www.facebook.com/RUSHcoffeePhuket/</t>
  </si>
  <si>
    <t xml:space="preserve">Mon 07:00-19:00; Tu 07:00-19:00; Wed 07:00-19:00; Thu 07:00-19:00; Fri 07:00-19:00; Sat 07:00-19:00; Sun 07:00-17:00</t>
  </si>
  <si>
    <t xml:space="preserve">Rush Coffee
ที่อยู่ ถนนเยาวราช ตำบล รัษฎา อำเภอเมืองภูเก็ต ภูเก็ต 83000</t>
  </si>
  <si>
    <t xml:space="preserve">https://thailandtourismdirectory.go.th/th/restaurants/91298</t>
  </si>
  <si>
    <t xml:space="preserve">https://files.thailandtourismdirectory.go.th/assets/upload/2018/11/08/20181108c4ca4238a0b923820dcc509a6f75849b151755.jpg</t>
  </si>
  <si>
    <t xml:space="preserve">Rustic - Eatery &amp; bar</t>
  </si>
  <si>
    <t xml:space="preserve">อาหารเช้า, ของหวาน, อาหารอิตาเลียน</t>
  </si>
  <si>
    <t xml:space="preserve">32 ถนนทวีวงศ์ ตำบลป่าตอง อำเภอ กะทู้ ภูเก็ต 83150</t>
  </si>
  <si>
    <t xml:space="preserve">076 344 776</t>
  </si>
  <si>
    <t xml:space="preserve">https://www.facebook.com/rusticeateryphuket/</t>
  </si>
  <si>
    <t xml:space="preserve">Mon 08:00-22:30; Tu 08:00-22:30; Wed 08:00-22:30; Thu 08:00-22:30; Fri 08:00-22:30; Sat 08:00-22:30; Sun 08:00-22:30</t>
  </si>
  <si>
    <t xml:space="preserve">Rustic - Eatery &amp; bar 
ที่อยู่ 32 ถนนทวีวงศ์ ตำบลป่าตอง อำเภอ กะทู้ ภูเก็ต 83150</t>
  </si>
  <si>
    <t xml:space="preserve">https://thailandtourismdirectory.go.th/th/restaurants/92092</t>
  </si>
  <si>
    <t xml:space="preserve">https://files.thailandtourismdirectory.go.th/assets/upload/2018/11/16/20181116c4ca4238a0b923820dcc509a6f75849b110212.jpg</t>
  </si>
  <si>
    <t xml:space="preserve">Ryn-authentic Tea And Slow Drop Coffee</t>
  </si>
  <si>
    <t xml:space="preserve">089 472 2495</t>
  </si>
  <si>
    <t xml:space="preserve">https://www.facebook.com/ryntea.phuket/</t>
  </si>
  <si>
    <t xml:space="preserve">Ryn-authentic Tea And Slow Drop Coffee 
ที่อยู่ 4 ถนน กระบี่ ตำบล ตลาดเหนือ อำเภอเมืองภูเก็ต ภูเก็ต 83000</t>
  </si>
  <si>
    <t xml:space="preserve">https://thailandtourismdirectory.go.th/th/restaurants/91336</t>
  </si>
  <si>
    <t xml:space="preserve">https://files.thailandtourismdirectory.go.th/assets/upload/2018/11/09/20181109c4ca4238a0b923820dcc509a6f75849b111140.jpg</t>
  </si>
  <si>
    <t xml:space="preserve">SEA BREEZE CAFE AND TERRACE RESTAURANT</t>
  </si>
  <si>
    <t xml:space="preserve">ร้านกาแฟ/ชา, อาหารทะเล, บุฟเฟ่ต์โรงแรม</t>
  </si>
  <si>
    <t xml:space="preserve">52 ถนนทวีวงศ์ ตำบลป่าตอง อำเภอ กะทู้ ภูเก็ต 83150</t>
  </si>
  <si>
    <t xml:space="preserve">076 370 200</t>
  </si>
  <si>
    <t xml:space="preserve">https://www.facebook.com/seabreezecafeholidayinnresort/</t>
  </si>
  <si>
    <t xml:space="preserve">Sun 16:00-23:00; Mon 06:00-11:00; Mon 16:00-23:00; Tu 06:00-11:00; Tu 16:00-23:00; Wed 06:00-11:00; Wed 16:00-23:00; Thu 06:00-11:00; Thu 16:00-23:00; Fri 06:00-11:00; Fri 16:00-23:00; Sat 06:00-11:00; Sat 16:00-23:00; Sun 06:00-11:00</t>
  </si>
  <si>
    <t xml:space="preserve">SEA BREEZE CAFE AND TERRACE RESTAURANT 
ที่อยู่ 52 ถนนทวีวงศ์ ตำบลป่าตอง อำเภอ กะทู้ ภูเก็ต 83150</t>
  </si>
  <si>
    <t xml:space="preserve">https://thailandtourismdirectory.go.th/th/restaurants/91141</t>
  </si>
  <si>
    <t xml:space="preserve">https://files.thailandtourismdirectory.go.th/assets/upload/2018/11/07/20181107c4ca4238a0b923820dcc509a6f75849b101601.jpg</t>
  </si>
  <si>
    <t xml:space="preserve">SEA CALM Cafe&amp;Bistro (สีคราม คาเฟ่)</t>
  </si>
  <si>
    <t xml:space="preserve">099 407 4880</t>
  </si>
  <si>
    <t xml:space="preserve">https://www.facebook.com/seacalmcafe/</t>
  </si>
  <si>
    <t xml:space="preserve">Mon 09:00-20:30; Tu 09:00-20:30; Wed 09:00-20:30; Thu 09:00-20:30; Fri 09:00-20:30; Sat 09:00-20:30; Sun 09:00-20:30</t>
  </si>
  <si>
    <t xml:space="preserve">SEA CALM Cafe&amp;Bistro (สีคราม คาเฟ่) 
ที่อยู่ ภก.4027 ตำบล สาคู อำเภอ ถลาง ภูเก็ต 83110</t>
  </si>
  <si>
    <t xml:space="preserve">https://thailandtourismdirectory.go.th/th/restaurants/90899</t>
  </si>
  <si>
    <t xml:space="preserve">https://files.thailandtourismdirectory.go.th/assets/upload/2018/11/05/20181105c4ca4238a0b923820dcc509a6f75849b125426.jpg</t>
  </si>
  <si>
    <t xml:space="preserve">SHUN SUSHI</t>
  </si>
  <si>
    <t xml:space="preserve">076 604 303</t>
  </si>
  <si>
    <t xml:space="preserve">https://www.facebook.com/SHUNbySSK/</t>
  </si>
  <si>
    <t xml:space="preserve">SHUN SUSHI 
ที่อยู่ ถนน เฉลิมพระเกียรติรัชกาล ที่ 9 ตำบล รัษฎา อำเภอเมืองภูเก็ต ภูเก็ต 83000</t>
  </si>
  <si>
    <t xml:space="preserve">https://thailandtourismdirectory.go.th/th/restaurants/90821</t>
  </si>
  <si>
    <t xml:space="preserve">https://files.thailandtourismdirectory.go.th/assets/upload/2018/11/01/20181101c4ca4238a0b923820dcc509a6f75849b151042.jpg</t>
  </si>
  <si>
    <t xml:space="preserve">SKYE Beach Club</t>
  </si>
  <si>
    <t xml:space="preserve">093-582-7700 </t>
  </si>
  <si>
    <t xml:space="preserve">https://www.facebook.com/skyelakeclub/</t>
  </si>
  <si>
    <t xml:space="preserve">Mon 16:00-23:59; Tu 16:00-23:59; Wed 16:00-23:59; Thu 16:00-23:59; Fri 16:00-23:59; Sat 16:00-23:59; Sun 16:00-23:59</t>
  </si>
  <si>
    <t xml:space="preserve">SKYE Beach Club 
ที่อยู่ ภก.4027 ตำบล สาคู อำเภอ ถลาง ภูเก็ต 83110</t>
  </si>
  <si>
    <t xml:space="preserve">https://thailandtourismdirectory.go.th/th/restaurants/90941</t>
  </si>
  <si>
    <t xml:space="preserve">https://files.thailandtourismdirectory.go.th/assets/upload/2018/11/05/20181105c4ca4238a0b923820dcc509a6f75849b155335.jpg</t>
  </si>
  <si>
    <t xml:space="preserve">Salad Memory Healthy Café Phuket</t>
  </si>
  <si>
    <t xml:space="preserve">อาหารคลีน/สลัด, อาหารฟิวชั่น, คาเฟ่</t>
  </si>
  <si>
    <t xml:space="preserve">4233 ตำบล ราไวย์ อำเภอเมืองภูเก็ต ภูเก็ต</t>
  </si>
  <si>
    <t xml:space="preserve">094 929 6291</t>
  </si>
  <si>
    <t xml:space="preserve">https://www.facebook.com/salad.memory/</t>
  </si>
  <si>
    <t xml:space="preserve">Salad Memory Healthy Café Phuket
ที่อยู่ 4233 ตำบล ราไวย์ อำเภอเมืองภูเก็ต ภูเก็ต</t>
  </si>
  <si>
    <t xml:space="preserve">https://thailandtourismdirectory.go.th/th/restaurants/90811</t>
  </si>
  <si>
    <t xml:space="preserve">https://files.thailandtourismdirectory.go.th/assets/upload/2018/11/01/20181101c4ca4238a0b923820dcc509a6f75849b142258.jpg</t>
  </si>
  <si>
    <t xml:space="preserve">Sand Box Restaurant and Bar</t>
  </si>
  <si>
    <t xml:space="preserve">076 363 999</t>
  </si>
  <si>
    <t xml:space="preserve">https://www.facebook.com/renphuket/</t>
  </si>
  <si>
    <t xml:space="preserve">Sand Box Restaurant and Bar 
ที่อยู่ Unnamed Road, ตำบล ไม้ขาว อำเภอ ถลาง ภูเก็ต 83110</t>
  </si>
  <si>
    <t xml:space="preserve">https://thailandtourismdirectory.go.th/th/restaurants/92085</t>
  </si>
  <si>
    <t xml:space="preserve">https://files.thailandtourismdirectory.go.th/assets/upload/2018/11/16/20181116c4ca4238a0b923820dcc509a6f75849b101334.jpg</t>
  </si>
  <si>
    <t xml:space="preserve">Satomi Japanese Restaurant</t>
  </si>
  <si>
    <t xml:space="preserve">58 ถนน รัษฎา ตำบล ตลาดเหนือ อำเภอเมืองภูเก็ต ภูเก็ต 83000</t>
  </si>
  <si>
    <t xml:space="preserve">076 211 133</t>
  </si>
  <si>
    <t xml:space="preserve">https://www.facebook.com/Satomiphuket/</t>
  </si>
  <si>
    <t xml:space="preserve">Tu 12:00-22:00; Wed 12:00-22:00; Thu 12:00-22:00; Fri 12:00-22:00; Sat 12:00-22:00; Sun 12:00-22:00</t>
  </si>
  <si>
    <t xml:space="preserve">Satomi Japanese Restaurant
ที่อยู่ 58 ถนน รัษฎา ตำบล ตลาดเหนือ อำเภอเมืองภูเก็ต ภูเก็ต 83000</t>
  </si>
  <si>
    <t xml:space="preserve">https://thailandtourismdirectory.go.th/th/restaurants/91973</t>
  </si>
  <si>
    <t xml:space="preserve">https://files.thailandtourismdirectory.go.th/assets/upload/2018/11/15/20181115c4ca4238a0b923820dcc509a6f75849b141649.jpg</t>
  </si>
  <si>
    <t xml:space="preserve">Sea Salt Lounge &amp; Grill</t>
  </si>
  <si>
    <t xml:space="preserve">227 Kammala - Patong Rd, ตำบลป่าตอง อำเภอ กะทู้ ภูเก็ต 83150</t>
  </si>
  <si>
    <t xml:space="preserve">076 623 555</t>
  </si>
  <si>
    <t xml:space="preserve">https://www.facebook.com/seasaltpatong/</t>
  </si>
  <si>
    <t xml:space="preserve">Sea Salt Lounge &amp; Grill 
ที่อยู่ 227 Kammala - Patong Rd, ตำบลป่าตอง อำเภอ กะทู้ ภูเก็ต 83150</t>
  </si>
  <si>
    <t xml:space="preserve">https://thailandtourismdirectory.go.th/th/restaurants/90895</t>
  </si>
  <si>
    <t xml:space="preserve">https://files.thailandtourismdirectory.go.th/assets/upload/2018/11/05/20181105c4ca4238a0b923820dcc509a6f75849b123449.jpg</t>
  </si>
  <si>
    <t xml:space="preserve">Simple Box Cafe</t>
  </si>
  <si>
    <t xml:space="preserve">431-441 ถนนเยาวราช ตำบล รัษฎา อำเภอเมืองภูเก็ต ภูเก็ต 83000</t>
  </si>
  <si>
    <t xml:space="preserve">083 506 2221</t>
  </si>
  <si>
    <t xml:space="preserve">https://www.facebook.com/tongsimplebox/</t>
  </si>
  <si>
    <t xml:space="preserve">Mon 16:00-22:00; Tu 16:00-22:00; Wed 16:00-22:00; Thu 16:00-22:00; Fri 16:00-22:00; Sat 16:00-22:00; Sun 16:00-22:00</t>
  </si>
  <si>
    <t xml:space="preserve">Simple Box Cafe 
ที่อยู่ 431-441 ถนนเยาวราช ตำบล รัษฎา อำเภอเมืองภูเก็ต ภูเก็ต 83000</t>
  </si>
  <si>
    <t xml:space="preserve">https://thailandtourismdirectory.go.th/th/restaurants/92080</t>
  </si>
  <si>
    <t xml:space="preserve">https://files.thailandtourismdirectory.go.th/assets/upload/2018/11/16/20181116c4ca4238a0b923820dcc509a6f75849b090627.jpg</t>
  </si>
  <si>
    <t xml:space="preserve">Smokin' Fish</t>
  </si>
  <si>
    <t xml:space="preserve">076 609 331</t>
  </si>
  <si>
    <t xml:space="preserve">https://www.facebook.com/smokinfish.phuket/</t>
  </si>
  <si>
    <t xml:space="preserve">Mon 17:00-22:00; Tu 17:00-22:00; Wed 17:00-22:00; Thu 17:00-22:00; Fri 17:00-22:00; Sat 17:00-22:00</t>
  </si>
  <si>
    <t xml:space="preserve">Smokin' Fish 
ที่อยู่ ถนน พังงา ตำบล ตลาดใหญ่ อำเภอเมืองภูเก็ต ภูเก็ต 83000</t>
  </si>
  <si>
    <t xml:space="preserve">https://thailandtourismdirectory.go.th/th/restaurants/90841</t>
  </si>
  <si>
    <t xml:space="preserve">https://files.thailandtourismdirectory.go.th/assets/upload/2018/11/02/20181102c4ca4238a0b923820dcc509a6f75849b095621.jpg</t>
  </si>
  <si>
    <t xml:space="preserve">Story Crepes (สตอรี่เครป)</t>
  </si>
  <si>
    <t xml:space="preserve">บุฟเฟ่ต์, อาหารไทย, สตรีทฟู้ด/รถเข็น</t>
  </si>
  <si>
    <t xml:space="preserve">441 ถนนเยาวราช ตำบล รัษฎา อำเภอเมืองภูเก็ต ภูเก็ต 83000</t>
  </si>
  <si>
    <t xml:space="preserve">081 980 1977</t>
  </si>
  <si>
    <t xml:space="preserve">https://www.facebook.com/StoryCrepesPhuket/</t>
  </si>
  <si>
    <t xml:space="preserve">Mon 16:00-22:00; Tu 16:00-22:00; Wed 16:00-22:00; Thu 16:00-22:00; Fri 16:00-22:00; Sat 16:00-22:00; Sun 14:00-22:00</t>
  </si>
  <si>
    <t xml:space="preserve">Story Crepes (สตอรี่เครป) 
ที่อยู่ 441 ถนนเยาวราช ตำบล รัษฎา อำเภอเมืองภูเก็ต ภูเก็ต 83000</t>
  </si>
  <si>
    <t xml:space="preserve">https://thailandtourismdirectory.go.th/th/restaurants/91453</t>
  </si>
  <si>
    <t xml:space="preserve">https://files.thailandtourismdirectory.go.th/assets/upload/2018/11/13/20181113032d9566af8c82bc330f0198db93d256102404.png</t>
  </si>
  <si>
    <t xml:space="preserve">Suay Restaurant (สวย เรสเตอร์รอง)</t>
  </si>
  <si>
    <t xml:space="preserve">58 ถนน ตะกั่วป่า ตำบล ตลาดเหนือ อำเภอเมืองภูเก็ต ภูเก็ต 83000</t>
  </si>
  <si>
    <t xml:space="preserve">087 888 6990</t>
  </si>
  <si>
    <t xml:space="preserve">https://www.facebook.com/phuketsuayrestaurant/</t>
  </si>
  <si>
    <t xml:space="preserve">Mon 17:00-23:00; Tu 17:00-23:00; Wed 17:00-23:00; Thu 17:00-23:00; Fri 17:00-23:00; Sat 17:00-23:00; Sun 17:00-23:00</t>
  </si>
  <si>
    <t xml:space="preserve">Suay Restaurant (สวย เรสเตอร์รอง) 
ที่อยู่ 58 ถนน ตะกั่วป่า ตำบล ตลาดเหนือ อำเภอเมืองภูเก็ต ภูเก็ต 83000</t>
  </si>
  <si>
    <t xml:space="preserve">https://thailandtourismdirectory.go.th/th/restaurants/91442</t>
  </si>
  <si>
    <t xml:space="preserve">https://files.thailandtourismdirectory.go.th/assets/upload/2018/11/12/20181112c4ca4238a0b923820dcc509a6f75849b160841.jpg</t>
  </si>
  <si>
    <t xml:space="preserve">Sugar Dark Cafe' (ชูก้า ดาร์ก คาเฟ่)</t>
  </si>
  <si>
    <t xml:space="preserve">เบเกอรี/เค้ก, ของหวาน</t>
  </si>
  <si>
    <t xml:space="preserve">091-824-7476</t>
  </si>
  <si>
    <t xml:space="preserve">https://www.facebook.com/SugarDarkCafe/</t>
  </si>
  <si>
    <t xml:space="preserve">Mon 10:00-20:00; Tu 10:00-20:00; Thu 10:00-20:00; Fri 10:00-20:00; Sat 10:00-20:00; Sun 10:00-20:00</t>
  </si>
  <si>
    <t xml:space="preserve">Sugar Dark Cafe' (ชูก้า ดาร์ก คาเฟ่) 
ที่อยู่ 4020 ตำบล รัษฎา อำเภอเมืองภูเก็ต ภูเก็ต 83000</t>
  </si>
  <si>
    <t xml:space="preserve">https://thailandtourismdirectory.go.th/th/restaurants/91163</t>
  </si>
  <si>
    <t xml:space="preserve">https://files.thailandtourismdirectory.go.th/assets/upload/2018/11/07/20181107c4ca4238a0b923820dcc509a6f75849b113514.jpg</t>
  </si>
  <si>
    <t xml:space="preserve">Sunset Bay Phuket</t>
  </si>
  <si>
    <t xml:space="preserve">อาหารทะเล, กึ่งผับ/ร้านเหล้า/บาร์, ร้านริมน้ำ</t>
  </si>
  <si>
    <t xml:space="preserve">239 Kammala - Patong Rd, ตำบลป่าตอง อำเภอ กะทู้ ภูเก็ต 83150</t>
  </si>
  <si>
    <t xml:space="preserve">098 017 3252</t>
  </si>
  <si>
    <t xml:space="preserve">https://www.facebook.com/SunsetBay.Phuket/</t>
  </si>
  <si>
    <t xml:space="preserve">Sunset Bay Phuket
ที่อยู่ 239 Kammala - Patong Rd, ตำบลป่าตอง อำเภอ กะทู้ ภูเก็ต 83150</t>
  </si>
  <si>
    <t xml:space="preserve">https://thailandtourismdirectory.go.th/th/restaurants/91189</t>
  </si>
  <si>
    <t xml:space="preserve">https://files.thailandtourismdirectory.go.th/assets/upload/2018/11/07/201811072b541eceea4f20a93fe74398a9ca1e80143351.png</t>
  </si>
  <si>
    <t xml:space="preserve">Surf House Phuket - Patong Beach</t>
  </si>
  <si>
    <t xml:space="preserve">150 ถนนทวีวงศ์ ตำบลป่าตอง อำเภอ กะทู้ ภูเก็ต 83150</t>
  </si>
  <si>
    <t xml:space="preserve">081 979 7737</t>
  </si>
  <si>
    <t xml:space="preserve">https://www.facebook.com/SurfHouseBoardriders/</t>
  </si>
  <si>
    <t xml:space="preserve">Surf House Phuket - Patong Beach 
ที่อยู่ 150 ถนนทวีวงศ์ ตำบลป่าตอง อำเภอ กะทู้ ภูเก็ต 83150</t>
  </si>
  <si>
    <t xml:space="preserve">https://thailandtourismdirectory.go.th/th/restaurants/91978</t>
  </si>
  <si>
    <t xml:space="preserve">https://files.thailandtourismdirectory.go.th/assets/upload/2018/11/15/20181115c4ca4238a0b923820dcc509a6f75849b143856.jpg</t>
  </si>
  <si>
    <t xml:space="preserve">Sweet Devil (สวีทเดวิล)</t>
  </si>
  <si>
    <t xml:space="preserve">ร้านกาแฟ/ชา, อาหารจานเดียว/ตามสั่ง</t>
  </si>
  <si>
    <t xml:space="preserve">104 ถนนพัฒนา ตำบล ตลาดเหนือ อำเภอเมืองภูเก็ต ภูเก็ต 83000</t>
  </si>
  <si>
    <t xml:space="preserve">087 767 5911</t>
  </si>
  <si>
    <t xml:space="preserve">https://www.facebook.com/SweetDevilPhuket/</t>
  </si>
  <si>
    <t xml:space="preserve">Sweet Devil (สวีทเดวิล) 
ที่อยู่ 104 ถนนพัฒนา ตำบล ตลาดเหนือ อำเภอเมืองภูเก็ต ภูเก็ต 83000</t>
  </si>
  <si>
    <t xml:space="preserve">https://thailandtourismdirectory.go.th/th/restaurants/91452</t>
  </si>
  <si>
    <t xml:space="preserve">https://files.thailandtourismdirectory.go.th/assets/upload/2018/11/13/20181113c4ca4238a0b923820dcc509a6f75849b103055.jpg</t>
  </si>
  <si>
    <t xml:space="preserve">Sweet Potato</t>
  </si>
  <si>
    <t xml:space="preserve">พิซซ่า, อาหารอิตาเลียน, อาหารฟิวชั่น</t>
  </si>
  <si>
    <t xml:space="preserve">10 ถนนพัฒนา ตำบล ตลาดเหนือ อำเภอเมืองภูเก็ต ภูเก็ต 83000</t>
  </si>
  <si>
    <t xml:space="preserve">094 234 5663</t>
  </si>
  <si>
    <t xml:space="preserve">https://www.facebook.com/sweetpotatophuket/</t>
  </si>
  <si>
    <t xml:space="preserve">Mon 11:00-22:00; Wed 11:00-22:00; Thu 11:00-22:00; Fri 11:00-22:00; Sun 11:00-22:00</t>
  </si>
  <si>
    <t xml:space="preserve">Sweet Potato 
ที่อยู่ 10 ถนนพัฒนา ตำบล ตลาดเหนือ อำเภอเมืองภูเก็ต ภูเก็ต 83000</t>
  </si>
  <si>
    <t xml:space="preserve">https://thailandtourismdirectory.go.th/th/restaurants/91377</t>
  </si>
  <si>
    <t xml:space="preserve">https://files.thailandtourismdirectory.go.th/assets/upload/2018/11/09/20181109c4ca4238a0b923820dcc509a6f75849b143554.jpg</t>
  </si>
  <si>
    <t xml:space="preserve">Sweet Room</t>
  </si>
  <si>
    <t xml:space="preserve">ร้านกาแฟ/ชา, ของหวาน, เครื่องดื่ม/น้ำผลไม้/ชานมไข่มุก</t>
  </si>
  <si>
    <t xml:space="preserve">083 634 6399</t>
  </si>
  <si>
    <t xml:space="preserve">https://www.facebook.com/sweetroomfc/</t>
  </si>
  <si>
    <t xml:space="preserve">Sweet Room 
ที่อยู่ ถนน เฉลิมพระเกียรติรัชกาล ที่ 9 ตำบล รัษฎา อำเภอเมืองภูเก็ต ภูเก็ต 83000</t>
  </si>
  <si>
    <t xml:space="preserve">https://thailandtourismdirectory.go.th/th/restaurants/91306</t>
  </si>
  <si>
    <t xml:space="preserve">https://files.thailandtourismdirectory.go.th/assets/upload/2018/11/08/20181108c4ca4238a0b923820dcc509a6f75849b154930.jpg</t>
  </si>
  <si>
    <t xml:space="preserve">Sweet Talk</t>
  </si>
  <si>
    <t xml:space="preserve">333 ถนน ปฏัก ตำบล กะรน อำเภอเมืองภูเก็ต ภูเก็ต 83100</t>
  </si>
  <si>
    <t xml:space="preserve">https://www.facebook.com/sweettalkphuket/</t>
  </si>
  <si>
    <t xml:space="preserve">Sweet Talk 
ที่อยู่ 333 ถนน ปฏัก ตำบล กะรน อำเภอเมืองภูเก็ต ภูเก็ต 83100</t>
  </si>
  <si>
    <t xml:space="preserve">https://thailandtourismdirectory.go.th/th/restaurants/90931</t>
  </si>
  <si>
    <t xml:space="preserve">https://files.thailandtourismdirectory.go.th/assets/upload/2018/11/05/20181105c4ca4238a0b923820dcc509a6f75849b151738.jpg</t>
  </si>
  <si>
    <t xml:space="preserve">Sweet n' Treats</t>
  </si>
  <si>
    <t xml:space="preserve">ของหวาน, คาเฟ่</t>
  </si>
  <si>
    <t xml:space="preserve">5135 ซอย นพคุณ ตำบล ตลาดเหนือ อำเภอเมืองภูเก็ต ภูเก็ต 83000</t>
  </si>
  <si>
    <t xml:space="preserve">083 224 5111</t>
  </si>
  <si>
    <t xml:space="preserve">https://www.facebook.com/Sweetn-Treats-coffee-by-Phuket-cupcakes-252263234851247/</t>
  </si>
  <si>
    <t xml:space="preserve">Mon 09:00-18:00; Wed 09:00-18:00; Thu 09:00-18:00; Fri 09:00-18:00; Sat 09:00-18:00; Sun 09:00-18:00</t>
  </si>
  <si>
    <t xml:space="preserve">Sweet n' Treats 
ที่อยู่ 5135 ซอย นพคุณ ตำบล ตลาดเหนือ อำเภอเมืองภูเก็ต ภูเก็ต 83000</t>
  </si>
  <si>
    <t xml:space="preserve">https://thailandtourismdirectory.go.th/th/restaurants/90873</t>
  </si>
  <si>
    <t xml:space="preserve">https://files.thailandtourismdirectory.go.th/assets/upload/2018/11/02/20181102c4ca4238a0b923820dcc509a6f75849b153621.jpg</t>
  </si>
  <si>
    <t xml:space="preserve">T-din Cafe</t>
  </si>
  <si>
    <t xml:space="preserve">ของหวาน, อาหารจานเดียว/ตามสั่ง, เครื่องดื่ม/น้ำผลไม้/ชานมไข่มุก</t>
  </si>
  <si>
    <t xml:space="preserve">ซอย หงษ์หยกอุทิศ ตำบล ตลาดใหญ่ อำเภอเมืองภูเก็ต ภูเก็ต 83000</t>
  </si>
  <si>
    <t xml:space="preserve">089 728 8678</t>
  </si>
  <si>
    <t xml:space="preserve">https://www.facebook.com/T-Din-Cafe-%E0%B8%81%E0%B8%B2%E0%B9%81%E0%B8%9F%E0%B8%97%E0%B8%B5%E0%B9%88%E0%B8%94%E0%B8%B4%E0%B8%99-760674477302003/</t>
  </si>
  <si>
    <t xml:space="preserve">T-din Cafe 
ที่อยู่ ซอย หงษ์หยกอุทิศ ตำบล ตลาดใหญ่ อำเภอเมืองภูเก็ต ภูเก็ต 83000</t>
  </si>
  <si>
    <t xml:space="preserve">https://thailandtourismdirectory.go.th/th/restaurants/91181</t>
  </si>
  <si>
    <t xml:space="preserve">https://files.thailandtourismdirectory.go.th/assets/upload/2018/11/07/20181107c4ca4238a0b923820dcc509a6f75849b140550.jpg</t>
  </si>
  <si>
    <t xml:space="preserve">T.e.cafe (ทีอีคาเฟ่)</t>
  </si>
  <si>
    <t xml:space="preserve">120 ซอย ธรรมโสภา ตำบล ตลาดใหญ่ อำเภอเมืองภูเก็ต ภูเก็ต 83000</t>
  </si>
  <si>
    <t xml:space="preserve">088 753 3496</t>
  </si>
  <si>
    <t xml:space="preserve">https://www.facebook.com/Te-cafe-1009795365795849/</t>
  </si>
  <si>
    <t xml:space="preserve">T.e.cafe (ทีอีคาเฟ่) 
ที่อยู่ 120 ซอย ธรรมโสภา ตำบล ตลาดใหญ่ อำเภอเมืองภูเก็ต ภูเก็ต 83000</t>
  </si>
  <si>
    <t xml:space="preserve">https://thailandtourismdirectory.go.th/th/restaurants/91468</t>
  </si>
  <si>
    <t xml:space="preserve">https://files.thailandtourismdirectory.go.th/assets/upload/2018/11/13/20181113c4ca4238a0b923820dcc509a6f75849b131939.jpg</t>
  </si>
  <si>
    <t xml:space="preserve">TANTITIUM (ตันติเตี๊ยม)</t>
  </si>
  <si>
    <t xml:space="preserve">ร้านกาแฟ/ชา, กึ่งผับ/ร้านเหล้า/บาร์, อาหารใต้</t>
  </si>
  <si>
    <t xml:space="preserve">88 ถนน ดีบุก ตำบล ตลาดเหนือ อำเภอเมืองภูเก็ต ภูเก็ต 83000</t>
  </si>
  <si>
    <t xml:space="preserve">076 510 411</t>
  </si>
  <si>
    <t xml:space="preserve">https://www.facebook.com/Tantitium/</t>
  </si>
  <si>
    <t xml:space="preserve">Mon 11:00-22:30; Tu 11:00-22:30; Thu 11:00-22:30; Fri 11:00-22:30; Sat 11:00-22:30; Sun 11:00-22:30</t>
  </si>
  <si>
    <t xml:space="preserve">TANTITIUM (ตันติเตี๊ยม) 
ที่อยู่ 88 ถนน ดีบุก ตำบล ตลาดเหนือ อำเภอเมืองภูเก็ต ภูเก็ต 83000</t>
  </si>
  <si>
    <t xml:space="preserve">https://thailandtourismdirectory.go.th/th/restaurants/91369</t>
  </si>
  <si>
    <t xml:space="preserve">https://files.thailandtourismdirectory.go.th/assets/upload/2018/11/09/20181109c4ca4238a0b923820dcc509a6f75849b140911.jpg</t>
  </si>
  <si>
    <t xml:space="preserve">THE KALIMA RESORT &amp; SPA</t>
  </si>
  <si>
    <t xml:space="preserve">สเต๊ก, อาหารไทย</t>
  </si>
  <si>
    <t xml:space="preserve">076 358 999</t>
  </si>
  <si>
    <t xml:space="preserve">Mon 12:00-22:30; Tu 12:00-22:30; Wed 12:00-22:30; Thu 12:00-22:30; Fri 12:00-22:30; Sat 12:00-22:30; Sun 12:00-22:30</t>
  </si>
  <si>
    <t xml:space="preserve">THE KALIMA RESORT &amp; SPA 
ที่อยู่ 4233 ตำบลป่าตอง อำเภอ กะทู้ ภูเก็ต 83150</t>
  </si>
  <si>
    <t xml:space="preserve">https://thailandtourismdirectory.go.th/th/restaurants/91280</t>
  </si>
  <si>
    <t xml:space="preserve">https://files.thailandtourismdirectory.go.th/assets/upload/2018/11/08/20181108c4ca4238a0b923820dcc509a6f75849b141242.jpg</t>
  </si>
  <si>
    <t xml:space="preserve">THE PORT</t>
  </si>
  <si>
    <t xml:space="preserve">อาหารทะเล, อาหารไทย, อาหารนานาชาติ</t>
  </si>
  <si>
    <t xml:space="preserve">92 ถนนทวีวงศ์ ตำบลป่าตอง อำเภอ กะทู้ ภูเก็ต 83150</t>
  </si>
  <si>
    <t xml:space="preserve">089 866 3432</t>
  </si>
  <si>
    <t xml:space="preserve">https://www.facebook.com/ThePortPhuket/</t>
  </si>
  <si>
    <t xml:space="preserve">THE PORT 
ที่อยู่ 92 ถนนทวีวงศ์ ตำบลป่าตอง อำเภอ กะทู้ ภูเก็ต 83150</t>
  </si>
  <si>
    <t xml:space="preserve">https://thailandtourismdirectory.go.th/th/restaurants/91256</t>
  </si>
  <si>
    <t xml:space="preserve">https://files.thailandtourismdirectory.go.th/assets/upload/2018/11/08/20181108c4ca4238a0b923820dcc509a6f75849b111925.jpg</t>
  </si>
  <si>
    <t xml:space="preserve">Take Phuket</t>
  </si>
  <si>
    <t xml:space="preserve">ถนน บ้านดอน-เชิงทะเล ตำบล เชิงทะเล อำเภอ ถลาง ภูเก็ต 83110</t>
  </si>
  <si>
    <t xml:space="preserve">090-710-6018 </t>
  </si>
  <si>
    <t xml:space="preserve">https://www.facebook.com/takerestaurant2017/</t>
  </si>
  <si>
    <t xml:space="preserve">Sun 17:00-22:00; Mon 12:00-15:00; Mon 17:00-22:00; Tu 12:00-15:00; Tu 17:00-22:00; Wed 12:00-15:00; Wed 17:00-22:00; Thu 12:00-15:00; Thu 17:00-22:00; Fri 12:00-15:00; Fri 17:00-22:00; Sat 12:00-15:00; Sat 17:00-22:00; Sun 12:00-15:00</t>
  </si>
  <si>
    <t xml:space="preserve">Take Phuket
ที่อยู่ ถนน บ้านดอน-เชิงทะเล ตำบล เชิงทะเล อำเภอ ถลาง ภูเก็ต 83110</t>
  </si>
  <si>
    <t xml:space="preserve">https://thailandtourismdirectory.go.th/th/restaurants/92121</t>
  </si>
  <si>
    <t xml:space="preserve">https://files.thailandtourismdirectory.go.th/assets/upload/2018/11/16/20181116c4ca4238a0b923820dcc509a6f75849b150328.jpg</t>
  </si>
  <si>
    <t xml:space="preserve">Thaivetro Ice cream</t>
  </si>
  <si>
    <t xml:space="preserve">52 ถนนเยาวราช ตำบล ตลาดเหนือ อำเภอเมืองภูเก็ต ภูเก็ต 83000</t>
  </si>
  <si>
    <t xml:space="preserve">081 849 1588</t>
  </si>
  <si>
    <t xml:space="preserve">https://www.facebook.com/Thaivetro.oldtown/</t>
  </si>
  <si>
    <t xml:space="preserve">Mon 09:00-19:00; Tu 09:00-19:00; Wed 09:00-19:00; Thu 09:00-19:00; Fri 09:00-19:00; Sat 09:00-20:00; Sun 09:00-20:00</t>
  </si>
  <si>
    <t xml:space="preserve">Thaivetro Ice cream
ที่อยู่ 52 ถนนเยาวราช ตำบล ตลาดเหนือ อำเภอเมืองภูเก็ต ภูเก็ต 83000</t>
  </si>
  <si>
    <t xml:space="preserve">https://thailandtourismdirectory.go.th/th/restaurants/91401</t>
  </si>
  <si>
    <t xml:space="preserve">https://files.thailandtourismdirectory.go.th/assets/upload/2018/11/09/20181109c4ca4238a0b923820dcc509a6f75849b160314.jpg</t>
  </si>
  <si>
    <t xml:space="preserve">The BaBa Urban Heritage Cuisine Restaurant</t>
  </si>
  <si>
    <t xml:space="preserve">25 ถนน พังงา ตำบล ตลาดใหญ่ อำเภอเมืองภูเก็ต ภูเก็ต 83000</t>
  </si>
  <si>
    <t xml:space="preserve">076 354 544</t>
  </si>
  <si>
    <t xml:space="preserve">https://www.facebook.com/thebabaurbanheritagecuisine/</t>
  </si>
  <si>
    <t xml:space="preserve">The BaBa Urban Heritage Cuisine Restaurant 
ที่อยู่ 25 ถนน พังงา ตำบล ตลาดใหญ่ อำเภอเมืองภูเก็ต ภูเก็ต 83000</t>
  </si>
  <si>
    <t xml:space="preserve">https://thailandtourismdirectory.go.th/th/restaurants/91960</t>
  </si>
  <si>
    <t xml:space="preserve">https://files.thailandtourismdirectory.go.th/assets/upload/2018/11/15/20181115c4ca4238a0b923820dcc509a6f75849b131641.jpg</t>
  </si>
  <si>
    <t xml:space="preserve">The Barrel Wine Beer &amp; Bistro Bar</t>
  </si>
  <si>
    <t xml:space="preserve">ผับ/เที่ยวกลางคืน, ร้านไวน์</t>
  </si>
  <si>
    <t xml:space="preserve">ถนน ชนะเจริญ ตำบล ตลาดใหญ่ อำเภอเมืองภูเก็ต ภูเก็ต 83000</t>
  </si>
  <si>
    <t xml:space="preserve">076 354 633</t>
  </si>
  <si>
    <t xml:space="preserve">https://www.facebook.com/The-Barrel-Wine-beer-bistro-bar-1762544720696504/</t>
  </si>
  <si>
    <t xml:space="preserve">The Barrel Wine Beer &amp; Bistro Bar 
ที่อยู่ ถนน ชนะเจริญ ตำบล ตลาดใหญ่ อำเภอเมืองภูเก็ต ภูเก็ต 83000</t>
  </si>
  <si>
    <t xml:space="preserve">https://thailandtourismdirectory.go.th/th/restaurants/91171</t>
  </si>
  <si>
    <t xml:space="preserve">https://files.thailandtourismdirectory.go.th/assets/upload/2018/11/07/20181107c4ca4238a0b923820dcc509a6f75849b115527.jpg</t>
  </si>
  <si>
    <t xml:space="preserve">The Circle Coffee Boutique</t>
  </si>
  <si>
    <t xml:space="preserve">14 ซอย สุรินทร์ ตำบล ตลาดใหญ่ อำเภอเมืองภูเก็ต ภูเก็ต 83000</t>
  </si>
  <si>
    <t xml:space="preserve">076 216 396</t>
  </si>
  <si>
    <t xml:space="preserve">https://www.facebook.com/TheCircleCoffee/</t>
  </si>
  <si>
    <t xml:space="preserve">The Circle Coffee Boutique
ที่อยู่ 14 ซอย สุรินทร์ ตำบล ตลาดใหญ่ อำเภอเมืองภูเก็ต ภูเก็ต 83000</t>
  </si>
  <si>
    <t xml:space="preserve">https://thailandtourismdirectory.go.th/th/restaurants/90843</t>
  </si>
  <si>
    <t xml:space="preserve">https://files.thailandtourismdirectory.go.th/assets/upload/2018/11/02/20181102c4ca4238a0b923820dcc509a6f75849b101201.jpg</t>
  </si>
  <si>
    <t xml:space="preserve">The Column Phuket</t>
  </si>
  <si>
    <t xml:space="preserve">กึ่งผับ/ร้านเหล้า/บาร์, ผับ/เที่ยวกลางคืน</t>
  </si>
  <si>
    <t xml:space="preserve">29 ถนน ตะกั่วป่า ตำบล ตลาดเหนือ อำเภอเมืองภูเก็ต ภูเก็ต 83000</t>
  </si>
  <si>
    <t xml:space="preserve">094 535 9626</t>
  </si>
  <si>
    <t xml:space="preserve">https://www.facebook.com/thecolumnphuket/</t>
  </si>
  <si>
    <t xml:space="preserve">The Column Phuket
ที่อยู่ 29 ถนน ตะกั่วป่า ตำบล ตลาดเหนือ อำเภอเมืองภูเก็ต ภูเก็ต 83000</t>
  </si>
  <si>
    <t xml:space="preserve">https://thailandtourismdirectory.go.th/th/restaurants/91271</t>
  </si>
  <si>
    <t xml:space="preserve">https://files.thailandtourismdirectory.go.th/assets/upload/2018/11/08/20181108c4ca4238a0b923820dcc509a6f75849b133821.jpg</t>
  </si>
  <si>
    <t xml:space="preserve">The Crab House</t>
  </si>
  <si>
    <t xml:space="preserve">ตำบลป่าตอง อำเภอ กะทู้ ภูเก็ต 83150</t>
  </si>
  <si>
    <t xml:space="preserve">076 687 065</t>
  </si>
  <si>
    <t xml:space="preserve">https://www.facebook.com/TheCrabHouse/</t>
  </si>
  <si>
    <t xml:space="preserve">The Crab House 
ที่อยู่ ภก.4055 ตำบลป่าตอง อำเภอ กะทู้ ภูเก็ต 83150</t>
  </si>
  <si>
    <t xml:space="preserve">https://thailandtourismdirectory.go.th/th/restaurants/91172</t>
  </si>
  <si>
    <t xml:space="preserve">https://files.thailandtourismdirectory.go.th/assets/upload/2018/11/07/20181107c4ca4238a0b923820dcc509a6f75849b131052.jpg</t>
  </si>
  <si>
    <t xml:space="preserve">The Fat Chef (เดอะ แฟท เชฟ)</t>
  </si>
  <si>
    <t xml:space="preserve">อาหารฝรั่งเศส, อาหารฟิวชั่น</t>
  </si>
  <si>
    <t xml:space="preserve">402 ตำบล เกาะแก้ว อำเภอเมืองภูเก็ต ภูเก็ต 83000</t>
  </si>
  <si>
    <t xml:space="preserve">076 609 298</t>
  </si>
  <si>
    <t xml:space="preserve">https://www.facebook.com/thefatchefthailand/</t>
  </si>
  <si>
    <t xml:space="preserve">Mon 18:00-22:30; Tu 18:00-22:30; Wed 18:00-22:30; Thu 18:00-22:30; Fri 18:00-22:30; Sat 18:00-22:30; Sun 18:00-22:30</t>
  </si>
  <si>
    <t xml:space="preserve">The Fat Chef (เดอะ แฟท เชฟ) 
ที่อยู่ 402 ตำบล เกาะแก้ว อำเภอเมืองภูเก็ต ภูเก็ต 83000</t>
  </si>
  <si>
    <t xml:space="preserve">https://thailandtourismdirectory.go.th/th/restaurants/91448</t>
  </si>
  <si>
    <t xml:space="preserve">https://files.thailandtourismdirectory.go.th/assets/upload/2018/11/13/20181113c4ca4238a0b923820dcc509a6f75849b110035.jpg</t>
  </si>
  <si>
    <t xml:space="preserve">The Feelsion Cafe ฟีลฉัน</t>
  </si>
  <si>
    <t xml:space="preserve">447 ถนน ภูเก็ต ตำบล ตลาดใหญ่ อำเภอเมืองภูเก็ต ภูเก็ต 83000</t>
  </si>
  <si>
    <t xml:space="preserve">083 181 9845</t>
  </si>
  <si>
    <t xml:space="preserve">https://www.facebook.com/thefeelsioncafe/</t>
  </si>
  <si>
    <t xml:space="preserve">Mon 10:30-20:00; Tu 10:30-20:00; Wed 10:30-20:00; Thu 10:30-20:00; Fri 10:30-20:00; Sat 10:30-20:00; Sun 10:30-20:00</t>
  </si>
  <si>
    <t xml:space="preserve">The Feelsion Cafe ฟีลฉัน
ที่อยู่ 447 ถนน ภูเก็ต ตำบล ตลาดใหญ่ อำเภอเมืองภูเก็ต ภูเก็ต 83000</t>
  </si>
  <si>
    <t xml:space="preserve">https://thailandtourismdirectory.go.th/th/restaurants/90865</t>
  </si>
  <si>
    <t xml:space="preserve">https://files.thailandtourismdirectory.go.th/assets/upload/2018/11/02/20181102c4ca4238a0b923820dcc509a6f75849b145148.jpg</t>
  </si>
  <si>
    <t xml:space="preserve">The Hidden Pôt Bakery &amp; Café</t>
  </si>
  <si>
    <t xml:space="preserve">15 ซอย ร่วมใจ ตำบล เกาะแก้ว อำเภอเมืองภูเก็ต ภูเก็ต 83000</t>
  </si>
  <si>
    <t xml:space="preserve">098 505 6616</t>
  </si>
  <si>
    <t xml:space="preserve">https://www.facebook.com/thehiddenpot/</t>
  </si>
  <si>
    <t xml:space="preserve">The Hidden Pôt Bakery &amp; Café
ที่อยู่ 15 ซอย ร่วมใจ ตำบล เกาะแก้ว อำเภอเมืองภูเก็ต ภูเก็ต 83000</t>
  </si>
  <si>
    <t xml:space="preserve">https://thailandtourismdirectory.go.th/th/restaurants/90827</t>
  </si>
  <si>
    <t xml:space="preserve">https://files.thailandtourismdirectory.go.th/assets/upload/2018/11/01/20181101c4ca4238a0b923820dcc509a6f75849b154925.jpg</t>
  </si>
  <si>
    <t xml:space="preserve">The Library Phuket</t>
  </si>
  <si>
    <t xml:space="preserve">เบเกอรี/เค้ก, กึ่งผับ/ร้านเหล้า/บาร์, คาเฟ่</t>
  </si>
  <si>
    <t xml:space="preserve">095 039 0836</t>
  </si>
  <si>
    <t xml:space="preserve">https://www.facebook.com/TheLibraryPhuket/</t>
  </si>
  <si>
    <t xml:space="preserve">Sun 08:00-23:59; Mon 00:00-02:00; Mon 08:00-23:59; Tu 00:00-02:00; Tu 08:00-23:59; Wed 00:00-02:00; Wed 08:00-23:59; Thu 00:00-02:00; Thu 08:00-23:59; Fri 00:00-02:00; Fri 08:00-23:59; Sat 00:00-02:00; Sat 08:00-23:59; Sun 00:00-02:00</t>
  </si>
  <si>
    <t xml:space="preserve">The Library Phuket
ที่อยู่ 108 ถนน รัษฎา ตำบล ตลาดใหญ่ อำเภอเมืองภูเก็ต ภูเก็ต 83000</t>
  </si>
  <si>
    <t xml:space="preserve">https://thailandtourismdirectory.go.th/th/restaurants/91405</t>
  </si>
  <si>
    <t xml:space="preserve">https://files.thailandtourismdirectory.go.th/assets/upload/2018/11/12/201811122ba010e9cc5845c3609c019920d0b0dc090240.png</t>
  </si>
  <si>
    <t xml:space="preserve">The Naiyang Cafe</t>
  </si>
  <si>
    <t xml:space="preserve">อาหารไทย, อาหารมุสลิม/อิสลาม, คาเฟ่</t>
  </si>
  <si>
    <t xml:space="preserve">ซอย ในยาง 16 ตำบล สาคู อำเภอ ถลาง ภูเก็ต 83110</t>
  </si>
  <si>
    <t xml:space="preserve">062 691 9245</t>
  </si>
  <si>
    <t xml:space="preserve">https://www.facebook.com/thenaiyangcafe/</t>
  </si>
  <si>
    <t xml:space="preserve">Mon 09:30-22:00; Tu 09:30-22:00; Wed 09:30-22:00; Thu 09:30-22:00; Fri 09:30-22:00; Sat 09:30-22:00; Sun 09:30-22:00</t>
  </si>
  <si>
    <t xml:space="preserve">The Naiyang Café
ที่อยู่ ซอย ในยาง 16 ตำบล สาคู อำเภอ ถลาง ภูเก็ต 83110</t>
  </si>
  <si>
    <t xml:space="preserve">https://thailandtourismdirectory.go.th/th/restaurants/91464</t>
  </si>
  <si>
    <t xml:space="preserve">https://files.thailandtourismdirectory.go.th/assets/upload/2018/11/13/20181113c4ca4238a0b923820dcc509a6f75849b115022.jpg</t>
  </si>
  <si>
    <t xml:space="preserve">The Shelter Coffee</t>
  </si>
  <si>
    <t xml:space="preserve">91 ถนน ดีบุก ตำบล ตลาดเหนือ อำเภอเมืองภูเก็ต ภูเก็ต 83000</t>
  </si>
  <si>
    <t xml:space="preserve">086 595 5148</t>
  </si>
  <si>
    <t xml:space="preserve">https://www.facebook.com/thesheltercoffeephuket/</t>
  </si>
  <si>
    <t xml:space="preserve">The Shelter Coffee 
ที่อยู่ 91 ถนน ดีบุก ตำบล ตลาดเหนือ อำเภอเมืองภูเก็ต ภูเก็ต 83000</t>
  </si>
  <si>
    <t xml:space="preserve">https://thailandtourismdirectory.go.th/th/restaurants/91130</t>
  </si>
  <si>
    <t xml:space="preserve">https://files.thailandtourismdirectory.go.th/assets/upload/2018/11/07/20181107c4ca4238a0b923820dcc509a6f75849b093359.jpg</t>
  </si>
  <si>
    <t xml:space="preserve">The Spartan Burger &amp; Souvlaki BarChalong</t>
  </si>
  <si>
    <t xml:space="preserve">กึ่งผับ/ร้านเหล้า/บาร์, อาหารอเมริกัน, ฟาสต์ฟู้ด/จานด่วน</t>
  </si>
  <si>
    <t xml:space="preserve">https://www.facebook.com/thespartanburger/</t>
  </si>
  <si>
    <t xml:space="preserve">Tu 11:00-22:00; Wed 11:00-22:00; Thu 11:00-22:00; Fri 11:00-22:00; Sat 11:00-22:00; Sun 11:00-22:00</t>
  </si>
  <si>
    <t xml:space="preserve">The Spartan Burger &amp; Souvlaki BarChalong 
ที่อยู่ 4021 ตำบล ฉลอง อำเภอเมืองภูเก็ต ภูเก็ต 83000</t>
  </si>
  <si>
    <t xml:space="preserve">https://thailandtourismdirectory.go.th/th/restaurants/91433</t>
  </si>
  <si>
    <t xml:space="preserve">https://files.thailandtourismdirectory.go.th/assets/upload/2018/11/12/20181112c4ca4238a0b923820dcc509a6f75849b145127.jpg</t>
  </si>
  <si>
    <t xml:space="preserve">The Tent</t>
  </si>
  <si>
    <t xml:space="preserve">ร้านกาแฟ/ชา, เบเกอรี/เค้ก, อาหารอิตาเลียน</t>
  </si>
  <si>
    <t xml:space="preserve">076 217 775</t>
  </si>
  <si>
    <t xml:space="preserve">https://www.facebook.com/thetent.phuket/</t>
  </si>
  <si>
    <t xml:space="preserve">The Tent 
ที่อยู่ 14 Thep Krasattri, ตำบล ตลาดใหญ่ อำเภอเมืองภูเก็ต ภูเก็ต 83000</t>
  </si>
  <si>
    <t xml:space="preserve">https://thailandtourismdirectory.go.th/th/restaurants/91323</t>
  </si>
  <si>
    <t xml:space="preserve">https://files.thailandtourismdirectory.go.th/assets/upload/2018/11/09/20181109c4ca4238a0b923820dcc509a6f75849b102250.jpg</t>
  </si>
  <si>
    <t xml:space="preserve">Three Monkeys Restaurant</t>
  </si>
  <si>
    <t xml:space="preserve">กึ่งผับ/ร้านเหล้า/บาร์, อาหารไทย, คาเฟ่</t>
  </si>
  <si>
    <t xml:space="preserve">ถนนเหมืองเจ้าฟ้า ตำบล รัษฎา อำเภอเมืองภูเก็ต ภูเก็ต 83000</t>
  </si>
  <si>
    <t xml:space="preserve">098 010 8838</t>
  </si>
  <si>
    <t xml:space="preserve">https://www.facebook.com/threemonkeysphuket/</t>
  </si>
  <si>
    <t xml:space="preserve">Mon 08:00-22:00; Tu 08:00-22:00; Wed 08:00-22:00; Thu 08:00-22:00; Fri 08:00-22:00; Sat 08:00-22:00; Sun 08:00-22:00</t>
  </si>
  <si>
    <t xml:space="preserve">Three Monkeys Restaurant 
ที่อยู่ ถนนเหมืองเจ้าฟ้า ตำบล รัษฎา อำเภอเมืองภูเก็ต ภูเก็ต 83000</t>
  </si>
  <si>
    <t xml:space="preserve">https://thailandtourismdirectory.go.th/th/restaurants/91303</t>
  </si>
  <si>
    <t xml:space="preserve">https://files.thailandtourismdirectory.go.th/assets/upload/2018/11/08/20181108c4ca4238a0b923820dcc509a6f75849b154131.jpg</t>
  </si>
  <si>
    <t xml:space="preserve">Tiny bistro</t>
  </si>
  <si>
    <t xml:space="preserve">ร้านไวน์, อาหารอิตาเลียน</t>
  </si>
  <si>
    <t xml:space="preserve">076 211 950</t>
  </si>
  <si>
    <t xml:space="preserve">https://www.facebook.com/tinybistro/</t>
  </si>
  <si>
    <t xml:space="preserve">Tiny bistro 
ที่อยู่ 2 ถนน ดีบุก ตำบล ตลาดใหญ่ อำเภอเมืองภูเก็ต ภูเก็ต 83000</t>
  </si>
  <si>
    <t xml:space="preserve">https://thailandtourismdirectory.go.th/th/restaurants/91478</t>
  </si>
  <si>
    <t xml:space="preserve">https://files.thailandtourismdirectory.go.th/assets/upload/2018/11/13/20181113c4ca4238a0b923820dcc509a6f75849b152601.jpg</t>
  </si>
  <si>
    <t xml:space="preserve">Tori Japanese Buffet (โทริ เจแปนนิส บุฟเฟ่ต์)</t>
  </si>
  <si>
    <t xml:space="preserve">076-221000 </t>
  </si>
  <si>
    <t xml:space="preserve">https://www.facebook.com/ToriJapaneseBuffetPhuket/</t>
  </si>
  <si>
    <t xml:space="preserve">Tori Japanese Buffet (โทริ เจแปนนิส บุฟเฟ่ต์) 
ที่อยู่ ถนน บางใหญ่ ตำบล รัษฎา อำเภอเมืองภูเก็ต ภูเก็ต 83000</t>
  </si>
  <si>
    <t xml:space="preserve">https://thailandtourismdirectory.go.th/th/restaurants/92112</t>
  </si>
  <si>
    <t xml:space="preserve">https://files.thailandtourismdirectory.go.th/assets/upload/2018/11/16/20181116c4ca4238a0b923820dcc509a6f75849b144026.jpg</t>
  </si>
  <si>
    <t xml:space="preserve">Torry's Ice cream</t>
  </si>
  <si>
    <t xml:space="preserve">22 ซอย รมณีย์ ตำบล ตลาดใหญ่ อำเภอเมืองภูเก็ต ภูเก็ต 83000</t>
  </si>
  <si>
    <t xml:space="preserve">076 510 888</t>
  </si>
  <si>
    <t xml:space="preserve">https://www.facebook.com/torrysicecream/</t>
  </si>
  <si>
    <t xml:space="preserve">Tu 11:00-18:00; Wed 11:00-18:00; Thu 11:00-18:00; Fri 11:00-21:30; Sat 11:00-21:30; Sun 11:00-21:30</t>
  </si>
  <si>
    <t xml:space="preserve">Torry's Ice cream
ที่อยู่ 22 ซอย รมณีย์ ตำบล ตลาดใหญ่ อำเภอเมืองภูเก็ต ภูเก็ต 83000</t>
  </si>
  <si>
    <t xml:space="preserve">https://thailandtourismdirectory.go.th/th/restaurants/90807</t>
  </si>
  <si>
    <t xml:space="preserve">https://files.thailandtourismdirectory.go.th/assets/upload/2018/11/01/20181101c4ca4238a0b923820dcc509a6f75849b135508.jpg</t>
  </si>
  <si>
    <t xml:space="preserve">Tree kong</t>
  </si>
  <si>
    <t xml:space="preserve">อาหารไทย, อาหารจานเดียว/ตามสั่ง</t>
  </si>
  <si>
    <t xml:space="preserve">ถนนเยาวราช ตำบล ตลาดใหญ่ อำเภอเมืองภูเก็ต ภูเก็ต 83000</t>
  </si>
  <si>
    <t xml:space="preserve">062-356-5639 </t>
  </si>
  <si>
    <t xml:space="preserve">https://www.facebook.com/treekongphuket/</t>
  </si>
  <si>
    <t xml:space="preserve">Tree kong 
ที่อยู่ ถนนเยาวราช ตำบล ตลาดใหญ่ อำเภอเมืองภูเก็ต ภูเก็ต 83000</t>
  </si>
  <si>
    <t xml:space="preserve">https://thailandtourismdirectory.go.th/th/restaurants/90897</t>
  </si>
  <si>
    <t xml:space="preserve">https://files.thailandtourismdirectory.go.th/assets/upload/2018/11/05/20181105c4ca4238a0b923820dcc509a6f75849b124538.jpg</t>
  </si>
  <si>
    <t xml:space="preserve">Tuna Ichiban (ทูน่าอิจิบัง)</t>
  </si>
  <si>
    <t xml:space="preserve">97194 ซอย วิรัชหงษ์หยก 6/1 ตำบล รัษฎา อำเภอเมืองภูเก็ต ภูเก็ต 83000</t>
  </si>
  <si>
    <t xml:space="preserve">076 686 757</t>
  </si>
  <si>
    <t xml:space="preserve">https://www.facebook.com/tunaichibanphuket/</t>
  </si>
  <si>
    <t xml:space="preserve">Mon 11:00-14:00; Mon 16:30-22:00; Tu 11:00-14:00; Tu 16:30-22:00; Wed 11:00-14:00; Wed 16:30-22:00; Thu 11:00-14:00; Thu 16:30-22:00; Fri 10:00-22:00; Sat 10:00-22:00; Sun 10:00-22:00</t>
  </si>
  <si>
    <t xml:space="preserve">Tuna Ichiban (ทูน่าอิจิบัง) 
ที่อยู่ 97194 ซอย วิรัชหงษ์หยก 6/1 ตำบล รัษฎา อำเภอเมืองภูเก็ต ภูเก็ต 83000</t>
  </si>
  <si>
    <t xml:space="preserve">https://thailandtourismdirectory.go.th/th/restaurants/90884</t>
  </si>
  <si>
    <t xml:space="preserve">https://files.thailandtourismdirectory.go.th/assets/upload/2018/11/05/20181105c4ca4238a0b923820dcc509a6f75849b105118.jpg</t>
  </si>
  <si>
    <t xml:space="preserve">UOTERU SUISAN</t>
  </si>
  <si>
    <t xml:space="preserve">076 211 678</t>
  </si>
  <si>
    <t xml:space="preserve">https://www.facebook.com/Uoterusuisanphukettown/</t>
  </si>
  <si>
    <t xml:space="preserve">UOTERU SUISAN 
ที่อยู่ 4233 ตำบล ราไวย์ อำเภอเมืองภูเก็ต ภูเก็ต</t>
  </si>
  <si>
    <t xml:space="preserve">https://thailandtourismdirectory.go.th/th/restaurants/91472</t>
  </si>
  <si>
    <t xml:space="preserve">https://files.thailandtourismdirectory.go.th/assets/upload/2018/11/13/20181113c4ca4238a0b923820dcc509a6f75849b134418.jpg</t>
  </si>
  <si>
    <t xml:space="preserve">Uncle Jone’s Original Cake</t>
  </si>
  <si>
    <t xml:space="preserve">2 ซอย เยาวราช 3/1 ตำบล รัษฎา อำเภอเมืองภูเก็ต ภูเก็ต 83000</t>
  </si>
  <si>
    <t xml:space="preserve">064 049 0395</t>
  </si>
  <si>
    <t xml:space="preserve">https://www.facebook.com/unclejonesphuket/</t>
  </si>
  <si>
    <t xml:space="preserve">Uncle Jone’s Original Cake
ที่อยู่ 2 ซอย เยาวราช 3/1 ตำบล รัษฎา อำเภอเมืองภูเก็ต ภูเก็ต 83000</t>
  </si>
  <si>
    <t xml:space="preserve">https://thailandtourismdirectory.go.th/th/restaurants/91955</t>
  </si>
  <si>
    <t xml:space="preserve">https://files.thailandtourismdirectory.go.th/assets/upload/2018/11/15/20181115c4ca4238a0b923820dcc509a6f75849b130139.jpg</t>
  </si>
  <si>
    <t xml:space="preserve">UnforgetTable (อันฟอร์เก็ทเทเบิล)</t>
  </si>
  <si>
    <t xml:space="preserve">72/1 ถนนเยาวราช ตำบล ตลาดใหญ่ อำเภอเมืองภูเก็ต ภูเก็ต 83000</t>
  </si>
  <si>
    <t xml:space="preserve">081 938 1532 </t>
  </si>
  <si>
    <t xml:space="preserve">https://www.facebook.com/UnforgettablePhuket/</t>
  </si>
  <si>
    <t xml:space="preserve">Mon 09:00-17:00; Tu 09:00-17:00; Wed 09:00-17:00; Thu 09:00-17:00; Fri 09:00-17:00; Sat 09:00-17:00; Sun 09:00-17:00</t>
  </si>
  <si>
    <t xml:space="preserve">UnforgetTable (อันฟอร์เก็ทเทเบิล) 
ที่อยู่ 72/1 ถนนเยาวราช ตำบล ตลาดใหญ่ อำเภอเมืองภูเก็ต ภูเก็ต 83000</t>
  </si>
  <si>
    <t xml:space="preserve">https://thailandtourismdirectory.go.th/th/restaurants/91135</t>
  </si>
  <si>
    <t xml:space="preserve">https://files.thailandtourismdirectory.go.th/assets/upload/2018/11/07/20181107c4ca4238a0b923820dcc509a6f75849b100405.jpg</t>
  </si>
  <si>
    <t xml:space="preserve">VT แหนมเนือง</t>
  </si>
  <si>
    <t xml:space="preserve">อาหารเวียดนาม, อาหารไทย</t>
  </si>
  <si>
    <t xml:space="preserve">153 วิชิตสงคราม ซอย 3 ตำบล ตลาดเหนือ อำเภอเมืองภูเก็ต ภูเก็ต 83000</t>
  </si>
  <si>
    <t xml:space="preserve">076 354 500</t>
  </si>
  <si>
    <t xml:space="preserve">https://www.facebook.com/VT-%E0%B9%81%E0%B8%AB%E0%B8%99%E0%B8%A1%E0%B9%80%E0%B8%99%E0%B8%B7%E0%B8%AD%E0%B8%87by%E0%B8%A7%E0%B8%B2-%E0%B8%A0%E0%B8%B9%E0%B9%80%E0%B8%81%E0%B9%87%E0%B8%95-542363712579567/</t>
  </si>
  <si>
    <t xml:space="preserve">VT แหนมเนือง 
ที่อยู่ 153 วิชิตสงคราม ซอย 3 ตำบล ตลาดเหนือ อำเภอเมืองภูเก็ต ภูเก็ต 83000</t>
  </si>
  <si>
    <t xml:space="preserve">https://thailandtourismdirectory.go.th/th/restaurants/90913</t>
  </si>
  <si>
    <t xml:space="preserve">https://files.thailandtourismdirectory.go.th/assets/upload/2018/11/05/20181105c4ca4238a0b923820dcc509a6f75849b141808.jpg</t>
  </si>
  <si>
    <t xml:space="preserve">Vanilla Sky Bar</t>
  </si>
  <si>
    <t xml:space="preserve">Unnamed Road, ตำบล กมลา อำเภอ กะทู้ ภูเก็ต 83120</t>
  </si>
  <si>
    <t xml:space="preserve">https://www.facebook.com/VanillaSkyBar/</t>
  </si>
  <si>
    <t xml:space="preserve">Vanilla Sky Bar 
ที่อยู่ Unnamed Road, ตำบล กมลา อำเภอ กะทู้ ภูเก็ต 83120</t>
  </si>
  <si>
    <t xml:space="preserve">https://thailandtourismdirectory.go.th/th/restaurants/91747</t>
  </si>
  <si>
    <t xml:space="preserve">https://files.thailandtourismdirectory.go.th/assets/upload/2018/11/14/20181114032d9566af8c82bc330f0198db93d256101327.png</t>
  </si>
  <si>
    <t xml:space="preserve">View Cafe Phuket</t>
  </si>
  <si>
    <t xml:space="preserve">เบเกอรี/เค้ก, อาหารนานาชาติ, คาเฟ่</t>
  </si>
  <si>
    <t xml:space="preserve">Unnamed Road, ตำบล ฉลอง อำเภอเมืองภูเก็ต ภูเก็ต 83000</t>
  </si>
  <si>
    <t xml:space="preserve">081 451 4545</t>
  </si>
  <si>
    <t xml:space="preserve">https://www.facebook.com/View-cafe-at-Phuket-1466271270093296/</t>
  </si>
  <si>
    <t xml:space="preserve">View Cafe Phuket 
ที่อยู่ Unnamed Road, ตำบล ฉลอง อำเภอเมืองภูเก็ต ภูเก็ต 83000</t>
  </si>
  <si>
    <t xml:space="preserve">https://thailandtourismdirectory.go.th/th/restaurants/90876</t>
  </si>
  <si>
    <t xml:space="preserve">https://files.thailandtourismdirectory.go.th/assets/upload/2018/11/02/20181102c4ca4238a0b923820dcc509a6f75849b155006.jpg</t>
  </si>
  <si>
    <t xml:space="preserve">WHITE BOX Restaurant</t>
  </si>
  <si>
    <t xml:space="preserve">อาหารทะเล, อาหารฟิวชั่น</t>
  </si>
  <si>
    <t xml:space="preserve">076 346 271</t>
  </si>
  <si>
    <t xml:space="preserve">https://www.facebook.com/whiteboxrestaurant/</t>
  </si>
  <si>
    <t xml:space="preserve">Sun 17:30-23:59; Tu 00:00-01:00; Tu 17:30-23:59; Wed 00:00-01:00; Wed 17:30-23:59; Thu 00:00-01:00; Thu 17:30-23:59; Fri 00:00-01:00; Fri 17:30-23:59; Sat 00:00-01:00; Sat 17:30-23:59; Sun 00:00-01:00</t>
  </si>
  <si>
    <t xml:space="preserve">WHITE BOX Restaurant 
ที่อยู่ 247 Kammala - Patong Rd, ตำบลป่าตอง อำเภอ กะทู้ ภูเก็ต 83150</t>
  </si>
  <si>
    <t xml:space="preserve">https://thailandtourismdirectory.go.th/th/restaurants/90857</t>
  </si>
  <si>
    <t xml:space="preserve">https://files.thailandtourismdirectory.go.th/assets/upload/2018/11/02/20181102c4ca4238a0b923820dcc509a6f75849b135850.jpg</t>
  </si>
  <si>
    <t xml:space="preserve">WORK cafe'</t>
  </si>
  <si>
    <t xml:space="preserve">เบเกอรี/เค้ก, ของหวาน, อาหารจานเดียว/ตามสั่ง</t>
  </si>
  <si>
    <t xml:space="preserve">076 682 991</t>
  </si>
  <si>
    <t xml:space="preserve">https://www.facebook.com/worklimelightphuket/</t>
  </si>
  <si>
    <t xml:space="preserve">WORK cafe' 
ที่อยู่ ถนน ดีบุก ตำบล ตลาดใหญ่ อำเภอเมืองภูเก็ต ภูเก็ต 83000</t>
  </si>
  <si>
    <t xml:space="preserve">https://thailandtourismdirectory.go.th/th/restaurants/90877</t>
  </si>
  <si>
    <t xml:space="preserve">https://files.thailandtourismdirectory.go.th/assets/upload/2018/11/05/20181105c4ca4238a0b923820dcc509a6f75849b090027.jpg</t>
  </si>
  <si>
    <t xml:space="preserve">Wanon Restaurant (วานร)</t>
  </si>
  <si>
    <t xml:space="preserve">อาหารใต้, อาหารคลีน/สลัด, อาหารนานาชาติ</t>
  </si>
  <si>
    <t xml:space="preserve">Unnamed Road, ตำบล รัษฎา อำเภอเมืองภูเก็ต ภูเก็ต 83000</t>
  </si>
  <si>
    <t xml:space="preserve">076 390 189</t>
  </si>
  <si>
    <t xml:space="preserve">https://www.facebook.com/wanonrestaurant/</t>
  </si>
  <si>
    <t xml:space="preserve">Wanon Restaurant (วานร) 
ที่อยู่ ตำบล รัษฎา อำเภอเมืองภูเก็ต ภูเก็ต 83000</t>
  </si>
  <si>
    <t xml:space="preserve">https://thailandtourismdirectory.go.th/th/restaurants/91397</t>
  </si>
  <si>
    <t xml:space="preserve">https://files.thailandtourismdirectory.go.th/assets/upload/2018/11/09/20181109c4ca4238a0b923820dcc509a6f75849b155253.jpg</t>
  </si>
  <si>
    <t xml:space="preserve">Waylawaan Patisserie</t>
  </si>
  <si>
    <t xml:space="preserve">087 892 4422</t>
  </si>
  <si>
    <t xml:space="preserve">https://www.facebook.com/waylawaan/</t>
  </si>
  <si>
    <t xml:space="preserve">Tu 10:00-18:00; Wed 10:00-18:00; Thu 10:00-18:00; Fri 10:00-18:00; Sat 10:00-18:00; Sun 10:00-18:00</t>
  </si>
  <si>
    <t xml:space="preserve">Waylawaan Patisserie 
ที่อยู่ ถนนเยาวราช ตำบล ตลาดใหญ่ อำเภอเมืองภูเก็ต ภูเก็ต 83000</t>
  </si>
  <si>
    <t xml:space="preserve">https://thailandtourismdirectory.go.th/th/restaurants/91261</t>
  </si>
  <si>
    <t xml:space="preserve">https://files.thailandtourismdirectory.go.th/assets/upload/2018/11/08/20181108c4ca4238a0b923820dcc509a6f75849b102747.jpg</t>
  </si>
  <si>
    <t xml:space="preserve">We Cafe</t>
  </si>
  <si>
    <t xml:space="preserve">อาหารคลีน/สลัด, อาหารนานาชาติ, คาเฟ่</t>
  </si>
  <si>
    <t xml:space="preserve">088 752 1352</t>
  </si>
  <si>
    <t xml:space="preserve">https://www.facebook.com/WeCafephuket%20/</t>
  </si>
  <si>
    <t xml:space="preserve">We Café
ที่อยู่ 4021 ตำบล ฉลอง อำเภอเมืองภูเก็ต ภูเก็ต 83000</t>
  </si>
  <si>
    <t xml:space="preserve">https://thailandtourismdirectory.go.th/th/restaurants/90824</t>
  </si>
  <si>
    <t xml:space="preserve">https://files.thailandtourismdirectory.go.th/assets/upload/2018/11/01/20181101c4ca4238a0b923820dcc509a6f75849b152820.jpg</t>
  </si>
  <si>
    <t xml:space="preserve">Wine Connection Deli &amp; Bistro</t>
  </si>
  <si>
    <t xml:space="preserve">076-307-064 </t>
  </si>
  <si>
    <t xml:space="preserve">https://www.facebook.com/wineconnectionthai/</t>
  </si>
  <si>
    <t xml:space="preserve">Wine Connection Deli &amp; Bistro
ที่อยู่ ถนน เฉลิมพระเกียรติรัชกาล ที่ 9 ตำบล รัษฎา อำเภอเมืองภูเก็ต ภูเก็ต 83000</t>
  </si>
  <si>
    <t xml:space="preserve">https://thailandtourismdirectory.go.th/th/restaurants/91357</t>
  </si>
  <si>
    <t xml:space="preserve">https://files.thailandtourismdirectory.go.th/assets/upload/2018/11/09/20181109c4ca4238a0b923820dcc509a6f75849b132018.jpg</t>
  </si>
  <si>
    <t xml:space="preserve">Witthaya Home Brewing</t>
  </si>
  <si>
    <t xml:space="preserve">ซอย รุ่งระวี ตำบล ตลาดใหญ่ อำเภอเมืองภูเก็ต ภูเก็ต 83000</t>
  </si>
  <si>
    <t xml:space="preserve">088 750 7982</t>
  </si>
  <si>
    <t xml:space="preserve">https://www.facebook.com/witthayahomebrewing/</t>
  </si>
  <si>
    <t xml:space="preserve">Mon 08:00-16:00; Tu 08:00-16:00; Wed 08:00-16:00; Thu 08:00-16:00; Fri 08:00-16:00; Sat 08:00-16:00</t>
  </si>
  <si>
    <t xml:space="preserve">Witthaya Home Brewing 
ที่อยู่ ซอย รุ่งระวี ตำบล ตลาดใหญ่ อำเภอเมืองภูเก็ต ภูเก็ต 83000</t>
  </si>
  <si>
    <t xml:space="preserve">https://thailandtourismdirectory.go.th/th/restaurants/91238</t>
  </si>
  <si>
    <t xml:space="preserve">https://files.thailandtourismdirectory.go.th/assets/upload/2018/11/08/20181108c4ca4238a0b923820dcc509a6f75849b094300.jpg</t>
  </si>
  <si>
    <t xml:space="preserve">Worra Cafe</t>
  </si>
  <si>
    <t xml:space="preserve">ซอย บางเทา 2 ตำบล เชิงทะเล อำเภอ ถลาง ภูเก็ต 83110</t>
  </si>
  <si>
    <t xml:space="preserve">083 106 2055</t>
  </si>
  <si>
    <t xml:space="preserve">https://www.facebook.com/WorraCafe/</t>
  </si>
  <si>
    <t xml:space="preserve">Worra Cafe  ที่อยู่ ซอย บางเทา 2 ตำบล เชิงทะเล อำเภอ ถลาง ภูเก็ต 83110</t>
  </si>
  <si>
    <t xml:space="preserve">https://thailandtourismdirectory.go.th/th/restaurants/92961</t>
  </si>
  <si>
    <t xml:space="preserve">https://files.thailandtourismdirectory.go.th/assets/upload/2018/11/19/20181119c4ca4238a0b923820dcc509a6f75849b113607.jpg</t>
  </si>
  <si>
    <t xml:space="preserve">Yakiniku Koku (ยากินิกุ โกกุ)</t>
  </si>
  <si>
    <t xml:space="preserve">ปิ้งย่าง</t>
  </si>
  <si>
    <t xml:space="preserve">14 ถนน ถลาง ตำบล ตลาดเหนือ อำเภอเมืองภูเก็ต ภูเก็ต 83000</t>
  </si>
  <si>
    <t xml:space="preserve">093 745 8567</t>
  </si>
  <si>
    <t xml:space="preserve">https://www.facebook.com/Yakinikukokuphuket/</t>
  </si>
  <si>
    <t xml:space="preserve">Yakiniku Koku (ยากินิกุ โกกุ) 
ที่อยู่ 14 ถนน ถลาง ตำบล ตลาดเหนือ อำเภอเมืองภูเก็ต ภูเก็ต 83000</t>
  </si>
  <si>
    <t xml:space="preserve">https://thailandtourismdirectory.go.th/th/restaurants/90830</t>
  </si>
  <si>
    <t xml:space="preserve">https://files.thailandtourismdirectory.go.th/assets/upload/2018/11/01/20181101c4ca4238a0b923820dcc509a6f75849b160030.jpg</t>
  </si>
  <si>
    <t xml:space="preserve">Yoggie’s ice cream &amp; coffee</t>
  </si>
  <si>
    <t xml:space="preserve">เบเกอรี/เค้ก, ของหวาน, ไอศกรีม</t>
  </si>
  <si>
    <t xml:space="preserve">094 628 5559</t>
  </si>
  <si>
    <t xml:space="preserve">https://www.facebook.com/Yoggies-600445003653621/</t>
  </si>
  <si>
    <t xml:space="preserve">Yoggie’s ice cream &amp; coffee 
ที่อยู่ ภก.3001 ตำบล รัษฎา อำเภอเมืองภูเก็ต ภูเก็ต 83000</t>
  </si>
  <si>
    <t xml:space="preserve">https://thailandtourismdirectory.go.th/th/restaurants/91742</t>
  </si>
  <si>
    <t xml:space="preserve">https://files.thailandtourismdirectory.go.th/assets/upload/2018/11/14/20181114c4ca4238a0b923820dcc509a6f75849b094503.jpg</t>
  </si>
  <si>
    <t xml:space="preserve">ZeaScape (ซีสเคป)</t>
  </si>
  <si>
    <t xml:space="preserve">ของหวาน, เครื่องดื่ม/น้ำผลไม้/ชานมไข่มุก, อาหารนานาชาติ</t>
  </si>
  <si>
    <t xml:space="preserve">4233 ตำบล กมลา อำเภอ กะทู้ ภูเก็ต</t>
  </si>
  <si>
    <t xml:space="preserve">076 336 888</t>
  </si>
  <si>
    <t xml:space="preserve">https://www.facebook.com/UZenmayaPhuket/</t>
  </si>
  <si>
    <t xml:space="preserve">ZeaScape (ซีสเคป)
ที่อยู่ 4233 ตำบล กมลา อำเภอ กะทู้ ภูเก็ต</t>
  </si>
  <si>
    <t xml:space="preserve">https://thailandtourismdirectory.go.th/th/restaurants/91486</t>
  </si>
  <si>
    <t xml:space="preserve">https://files.thailandtourismdirectory.go.th/assets/upload/2018/11/13/20181113c4ca4238a0b923820dcc509a6f75849b142751.jpg</t>
  </si>
  <si>
    <t xml:space="preserve">Zimplex (ซิมเพล็กซ์)</t>
  </si>
  <si>
    <t xml:space="preserve">084-003-6664 </t>
  </si>
  <si>
    <t xml:space="preserve">https://www.facebook.com/Z1MPLEX/</t>
  </si>
  <si>
    <t xml:space="preserve">Sun 21:00-23:59; Mon 00:00-01:00; Mon 21:00-23:59; Tu 00:00-01:00; Tu 21:00-23:59; Wed 00:00-01:00; Wed 21:00-23:59; Thu 00:00-01:00; Thu 21:00-23:59; Fri 00:00-01:00; Fri 21:00-23:59; Sat 00:00-01:00; Sat 21:00-23:59; Sun 00:00-01:00</t>
  </si>
  <si>
    <t xml:space="preserve">Zimplex (ซิมเพล็กซ์)
ที่อยู่ ถนน พังงา ตำบล ตลาดใหญ่ อำเภอเมืองภูเก็ต ภูเก็ต 83000</t>
  </si>
  <si>
    <t xml:space="preserve">https://thailandtourismdirectory.go.th/th/restaurants/90852</t>
  </si>
  <si>
    <t xml:space="preserve">https://files.thailandtourismdirectory.go.th/assets/upload/2018/11/02/20181102c4ca4238a0b923820dcc509a6f75849b113843.jpg</t>
  </si>
  <si>
    <t xml:space="preserve">Zurich Bread Factory And Cafe</t>
  </si>
  <si>
    <t xml:space="preserve">อาหารเช้า, พิซซ่า, อาหารนานาชาติ</t>
  </si>
  <si>
    <t xml:space="preserve">092 458 4664</t>
  </si>
  <si>
    <t xml:space="preserve">https://www.facebook.com/zurichbread/</t>
  </si>
  <si>
    <t xml:space="preserve">Zurich Bread Factory And Café
ที่อยู่ ถนน วิชิตสงคราม ตำบล กะทู้ อำเภอ กะทู้ ภูเก็ต 83120</t>
  </si>
  <si>
    <t xml:space="preserve">https://thailandtourismdirectory.go.th/th/restaurants/91216</t>
  </si>
  <si>
    <t xml:space="preserve">https://files.thailandtourismdirectory.go.th/assets/upload/2018/11/07/20181107c4ca4238a0b923820dcc509a6f75849b160346.jpg</t>
  </si>
  <si>
    <t xml:space="preserve">i46 old town</t>
  </si>
  <si>
    <t xml:space="preserve">28 ถนน กระบี่ ตำบล ตลาดเหนือ อำเภอเมืองภูเก็ต ภูเก็ต 83000</t>
  </si>
  <si>
    <t xml:space="preserve">081 895 4795</t>
  </si>
  <si>
    <t xml:space="preserve">https://www.facebook.com/I46OldTown/</t>
  </si>
  <si>
    <t xml:space="preserve">Mon 10:00-16:00; Tu 10:00-16:00; Wed 10:00-16:00; Thu 10:00-16:00; Fri 10:00-16:00; Sun 10:00-16:00</t>
  </si>
  <si>
    <t xml:space="preserve">i46 old town 
ที่อยู่ 28 ถนน กระบี่ ตำบล ตลาดเหนือ อำเภอเมืองภูเก็ต ภูเก็ต 83000</t>
  </si>
  <si>
    <t xml:space="preserve">https://thailandtourismdirectory.go.th/th/restaurants/91958</t>
  </si>
  <si>
    <t xml:space="preserve">https://files.thailandtourismdirectory.go.th/assets/upload/2018/11/15/20181115c4ca4238a0b923820dcc509a6f75849b131101.jpg</t>
  </si>
  <si>
    <t xml:space="preserve">jelly phuket (ฉายเอี่ยนภูเก็ต)</t>
  </si>
  <si>
    <t xml:space="preserve">ของหวาน, เครื่องดื่ม/น้ำผลไม้/ชานมไข่มุก</t>
  </si>
  <si>
    <t xml:space="preserve">098 794 0604</t>
  </si>
  <si>
    <t xml:space="preserve">https://www.facebook.com/Jellyphuket-%E0%B9%80%E0%B8%A3%E0%B8%B2%E0%B8%84%E0%B8%B7%E0%B8%AD-%E0%B8%89%E0%B8%B2%E0%B8%A2%E0%B9%80%E0%B8%AD%E0%B8%B5%E0%B9%88%E0%B8%A2%E0%B8%99%E0%B8%A0%E0%B8%B9%E0%B9%80%E0%B8%81%E0%B9%87%E0%B8%95-245415668984305/</t>
  </si>
  <si>
    <t xml:space="preserve">Mon 10:00-22:00; Tu 10:00-22:00; Thu 10:00-22:00; Fri 10:00-22:00; Sat 10:00-22:00; Sun 10:00-22:00</t>
  </si>
  <si>
    <t xml:space="preserve">jelly phuket (ฉายเอี่ยนภูเก็ต)
ที่อยู่ 46/14 ถนน แม่หลวน ตำบล รัษฎา อำเภอเมืองภูเก็ต ภูเก็ต 83000</t>
  </si>
  <si>
    <t xml:space="preserve">https://thailandtourismdirectory.go.th/th/restaurants/91800</t>
  </si>
  <si>
    <t xml:space="preserve">https://files.thailandtourismdirectory.go.th/assets/upload/2018/11/14/20181114c4ca4238a0b923820dcc509a6f75849b151948.jpg</t>
  </si>
  <si>
    <t xml:space="preserve">joe's Downstairs</t>
  </si>
  <si>
    <t xml:space="preserve">อาหารทะเล, ปิ้งย่าง, อาหารอเมริกัน</t>
  </si>
  <si>
    <t xml:space="preserve">063 078 5887</t>
  </si>
  <si>
    <t xml:space="preserve">https://www.facebook.com/joesdownstairs/</t>
  </si>
  <si>
    <t xml:space="preserve">joe's Downstairs 
ที่อยู่ 4233 ตำบลป่าตอง อำเภอ กะทู้ ภูเก็ต 83150</t>
  </si>
  <si>
    <t xml:space="preserve">https://thailandtourismdirectory.go.th/th/restaurants/91246</t>
  </si>
  <si>
    <t xml:space="preserve">https://files.thailandtourismdirectory.go.th/assets/upload/2018/11/08/20181108c4ca4238a0b923820dcc509a6f75849b102229.jpg</t>
  </si>
  <si>
    <t xml:space="preserve">tiny coffee (ไทนี่คอฟฟี่)</t>
  </si>
  <si>
    <t xml:space="preserve">076 232 524</t>
  </si>
  <si>
    <t xml:space="preserve">https://www.facebook.com/tinycoffeephuket/</t>
  </si>
  <si>
    <t xml:space="preserve">tiny coffee (ไทนี่คอฟฟี่) 
ที่อยู่ 2 ถนน ดีบุก ตำบล ตลาดใหญ่ อำเภอเมืองภูเก็ต ภูเก็ต 83000</t>
  </si>
  <si>
    <t xml:space="preserve">https://thailandtourismdirectory.go.th/th/restaurants/91745</t>
  </si>
  <si>
    <t xml:space="preserve">https://files.thailandtourismdirectory.go.th/assets/upload/2018/11/14/20181114c4ca4238a0b923820dcc509a6f75849b100026.jpg</t>
  </si>
  <si>
    <t xml:space="preserve">กระชังบังหมุด (Bangmud Seafoods)</t>
  </si>
  <si>
    <t xml:space="preserve">ต เกาะแก้ว อ เมืองภูเก็ต ภูเก็ต</t>
  </si>
  <si>
    <t xml:space="preserve">081 537 4227</t>
  </si>
  <si>
    <t xml:space="preserve">https://www.facebook.com/BangMudseafood/</t>
  </si>
  <si>
    <t xml:space="preserve">กระชังบังหมุด (Bangmud Seafoods) 
ที่อยู่ ต เกาะแก้ว อ เมืองภูเก็ต ภูเก็ต</t>
  </si>
  <si>
    <t xml:space="preserve">https://thailandtourismdirectory.go.th/th/restaurants/91154</t>
  </si>
  <si>
    <t xml:space="preserve">https://files.thailandtourismdirectory.go.th/assets/upload/2018/11/07/20181107c4ca4238a0b923820dcc509a6f75849b110900.jpg</t>
  </si>
  <si>
    <t xml:space="preserve">กระเพราถาด byสามกอง</t>
  </si>
  <si>
    <t xml:space="preserve">อาหารจานเดียว/ตามสั่ง</t>
  </si>
  <si>
    <t xml:space="preserve">260/45 ถนนเยาวราช ตำบล ตลาดใหญ่ อำเภอเมืองภูเก็ต ภูเก็ต 83000</t>
  </si>
  <si>
    <t xml:space="preserve">091 826 6932</t>
  </si>
  <si>
    <t xml:space="preserve">https://www.facebook.com/%E0%B8%81%E0%B8%A3%E0%B8%B0%E0%B9%80%E0%B8%9E%E0%B8%A3%E0%B8%B2%E0%B8%96%E0%B8%B2%E0%B8%94by%E0%B8%AA%E0%B8%B2%E0%B8%A1%E0%B8%81%E0%B8%AD%E0%B8%87-1879762912288245/</t>
  </si>
  <si>
    <t xml:space="preserve">กระเพราถาด byสามกอง
ที่อยู่ 260/45 ถนนเยาวราช ตำบล ตลาดใหญ่ อำเภอเมืองภูเก็ต ภูเก็ต 83000</t>
  </si>
  <si>
    <t xml:space="preserve">https://thailandtourismdirectory.go.th/th/restaurants/91473</t>
  </si>
  <si>
    <t xml:space="preserve">https://files.thailandtourismdirectory.go.th/assets/upload/2018/11/13/20181113c4ca4238a0b923820dcc509a6f75849b134842.jpg</t>
  </si>
  <si>
    <t xml:space="preserve">กล้วยทอด"ภูเก็จ"</t>
  </si>
  <si>
    <t xml:space="preserve">สตรีทฟู้ด/รถเข็น</t>
  </si>
  <si>
    <t xml:space="preserve">เยื่องโรงพยาบาลวชิระ</t>
  </si>
  <si>
    <t xml:space="preserve">83000</t>
  </si>
  <si>
    <t xml:space="preserve">Mon 10:00-17:00; Tu 10:00-17:00; Wed 10:00-17:00; Thu 10:00-17:00; Fri 10:00-17:00; Sat 10:00-17:00; Sun 10:00-17:00</t>
  </si>
  <si>
    <t xml:space="preserve">จักรยาน, มอเตอร์ไซด์, เดินเท้า, รถโดยสารประจำทาง, รถยนต์</t>
  </si>
  <si>
    <t xml:space="preserve">"กล้วยทอดภูเก็จ" กล้วยทอดร้านดังที่เกิดมาเพื่อภูมิอากาศฝนตกบ่อยแบบภูเก็ต
ความอร่อยของร้านนี้อยู่ที่กล้วยไร้เมล็ดสุกกำลังดีผสานกับแป้งสูตรดั้งเดิมแบบฉบับ "ภูเก็จ" แท้ๆ จนออกมาเป็นกล้วยทอดที่หอมหวานกรอบนอกฉ่ำใน ยั่วต่อมหิวให้ทำงานโดยเฉพาะยิ่งตอนฝนตกด้วยแล้วยิ่งชวนหิวกันไปใหญ่ นอกจากกล้วยทอดแล้วที่ร้านยังมีมันทอด เผือกทอดและเพื่อนพระเอกที่ยังไงก็ต้องชิมให้ได้อย่างจำปาดะทอดหวานหอมทานได้ยันเมล็ด
ร้านอยู่ไม่ใกล้ไม่ไกล ตั้งอยู่บริเวณซอยทางเข้าศาลเจ้าเจ่งอ๋องเยื่องกับโรงพยาบาลวชิระ นอกจากกล้วยทอดแล้วซอยนี้ยังมีของอร่อยอีกมากมายถ้าอยากรู้ว่ามีอะไรเด็ดอีกบ้างต้องไปลองเอง</t>
  </si>
  <si>
    <t xml:space="preserve">https://thailandtourismdirectory.go.th/th/restaurants/85577</t>
  </si>
  <si>
    <t xml:space="preserve">https://files.thailandtourismdirectory.go.th/assets/upload/2018/09/30/20180930fe93f4b47b43c293b71a2d6d44e9197c160710.JPG</t>
  </si>
  <si>
    <t xml:space="preserve">กล้วยน้ำว้า</t>
  </si>
  <si>
    <t xml:space="preserve">เบเกอรี/เค้ก, อาหารไทย, คาเฟ่</t>
  </si>
  <si>
    <t xml:space="preserve">367/22 ถนนเยาวราช ตำบล ตลาดใหญ่ อำเภอเมืองภูเก็ต ภูเก็ต 83000</t>
  </si>
  <si>
    <t xml:space="preserve">098 663 7084</t>
  </si>
  <si>
    <t xml:space="preserve">https://www.facebook.com/GluayNamWaPhuket?lst=100002912205174%3A100003629193221%3A1541052706</t>
  </si>
  <si>
    <t xml:space="preserve">กล้วยน้ำว้า
ที่อยู่ 367/22 ถนนเยาวราช ตำบล ตลาดใหญ่ อำเภอเมืองภูเก็ต ภูเก็ต 83000</t>
  </si>
  <si>
    <t xml:space="preserve">https://thailandtourismdirectory.go.th/th/restaurants/90801</t>
  </si>
  <si>
    <t xml:space="preserve">https://files.thailandtourismdirectory.go.th/assets/upload/2018/11/01/20181101c4ca4238a0b923820dcc509a6f75849b131610.jpg</t>
  </si>
  <si>
    <t xml:space="preserve">กาบกล้วย</t>
  </si>
  <si>
    <t xml:space="preserve">4029 ตำบลป่าตอง อำเภอ กะทู้ ภูเก็ต 83150</t>
  </si>
  <si>
    <t xml:space="preserve">076 346 832</t>
  </si>
  <si>
    <t xml:space="preserve">https://www.facebook.com/kaabgluaypatong/</t>
  </si>
  <si>
    <t xml:space="preserve">กาบกล้วย 
ที่อยู่ 4029 ตำบลป่าตอง อำเภอ กะทู้ ภูเก็ต 83150</t>
  </si>
  <si>
    <t xml:space="preserve">https://thailandtourismdirectory.go.th/th/restaurants/90845</t>
  </si>
  <si>
    <t xml:space="preserve">https://files.thailandtourismdirectory.go.th/assets/upload/2018/11/02/201811022b541eceea4f20a93fe74398a9ca1e80103330.png</t>
  </si>
  <si>
    <t xml:space="preserve">กาเอ อาหารเช้า</t>
  </si>
  <si>
    <t xml:space="preserve">ร้านกาแฟ/ชา, ติ่มซำ, อาหารเช้า</t>
  </si>
  <si>
    <t xml:space="preserve">0810862662</t>
  </si>
  <si>
    <t xml:space="preserve">https://www.facebook.com/%E0%B8%81%E0%B8%B2%E0%B9%80%E0%B8%AD-%E0%B8%AD%E0%B8%B2%E0%B8%AB%E0%B8%B2%E0%B8%A3%E0%B9%80%E0%B8%8A%E0%B9%89%E0%B8%B2-1506298672722041/</t>
  </si>
  <si>
    <t xml:space="preserve">Mon 06:30-12:00; Tu 06:30-12:00; Wed 06:30-12:00; Thu 06:30-12:00; Fri 06:30-12:00; Sat 06:30-12:00; Sun 06:30-12:00</t>
  </si>
  <si>
    <t xml:space="preserve">กาเอ อาหารเช้า
ที่อยู่ ภก.3001 ตำบล รัษฎา อำเภอเมืองภูเก็ต ภูเก็ต 83000</t>
  </si>
  <si>
    <t xml:space="preserve">https://thailandtourismdirectory.go.th/th/restaurants/91437</t>
  </si>
  <si>
    <t xml:space="preserve">https://files.thailandtourismdirectory.go.th/assets/upload/2018/11/12/20181112c4ca4238a0b923820dcc509a6f75849b152903.jpg</t>
  </si>
  <si>
    <t xml:space="preserve">กำเสี่ย ติ่มซำ และ อาหารจีนฮ่องกง</t>
  </si>
  <si>
    <t xml:space="preserve">ติ่มซำ, อาหารจีน</t>
  </si>
  <si>
    <t xml:space="preserve">095 256 5570</t>
  </si>
  <si>
    <t xml:space="preserve">https://www.facebook.com/gumzhiadimsum/</t>
  </si>
  <si>
    <t xml:space="preserve">Mon 06:30-16:00; Tu 06:30-16:00; Thu 06:30-16:00; Fri 06:30-16:00; Sat 06:30-16:00; Sun 06:30-16:00</t>
  </si>
  <si>
    <t xml:space="preserve">กำเสี่ย ติ่มซำ และ อาหารจีนฮ่องกง
ที่อยู่ Thanon Chao Fa, ตำบล ตลาดเหนือ อำเภอเมืองภูเก็ต ภูเก็ต 83000</t>
  </si>
  <si>
    <t xml:space="preserve">https://thailandtourismdirectory.go.th/th/restaurants/91174</t>
  </si>
  <si>
    <t xml:space="preserve">https://files.thailandtourismdirectory.go.th/assets/upload/2018/11/07/201811072b541eceea4f20a93fe74398a9ca1e80134215.png</t>
  </si>
  <si>
    <t xml:space="preserve">กิตติก๋วยเตี๋ยวเป็ด ภูเก็ต</t>
  </si>
  <si>
    <t xml:space="preserve">ก๋วยเตี๋ยว</t>
  </si>
  <si>
    <t xml:space="preserve">095 375 4555</t>
  </si>
  <si>
    <t xml:space="preserve">https://www.facebook.com/KittiDuckNoodlePhuket/</t>
  </si>
  <si>
    <t xml:space="preserve">กิตติก๋วยเตี๋ยวเป็ด ภูเก็ต 
ที่อยู่ 367/22 ถนนเยาวราช ตำบล ตลาดใหญ่ อำเภอเมืองภูเก็ต ภูเก็ต 83000</t>
  </si>
  <si>
    <t xml:space="preserve">https://thailandtourismdirectory.go.th/th/restaurants/91240</t>
  </si>
  <si>
    <t xml:space="preserve">https://files.thailandtourismdirectory.go.th/assets/upload/2018/11/08/20181108c4ca4238a0b923820dcc509a6f75849b095848.jpg</t>
  </si>
  <si>
    <t xml:space="preserve">กินกับอี๋</t>
  </si>
  <si>
    <t xml:space="preserve">2186 ถนน ศรีสุนทร ตำบล ศรีสุนทร อำเภอ ถลาง ภูเก็ต 83110</t>
  </si>
  <si>
    <t xml:space="preserve">ศรีสุนทร</t>
  </si>
  <si>
    <t xml:space="preserve">095 428 7195</t>
  </si>
  <si>
    <t xml:space="preserve">https://www.facebook.com/eatwithaunt/</t>
  </si>
  <si>
    <t xml:space="preserve">Wed 08:00-16:00; Thu 08:00-16:00; Fri 11:00-18:30; Sat 11:00-18:30; Sun 11:00-18:30</t>
  </si>
  <si>
    <t xml:space="preserve">กินกับอี๋ 
ที่อยู่ 2186 ถนน ศรีสุนทร ตำบล ศรีสุนทร อำเภอ ถลาง ภูเก็ต 83110</t>
  </si>
  <si>
    <t xml:space="preserve">https://thailandtourismdirectory.go.th/th/restaurants/91417</t>
  </si>
  <si>
    <t xml:space="preserve">https://files.thailandtourismdirectory.go.th/assets/upload/2018/11/12/20181112c4ca4238a0b923820dcc509a6f75849b111700.jpg</t>
  </si>
  <si>
    <t xml:space="preserve">กินสุข (Kinsook)</t>
  </si>
  <si>
    <t xml:space="preserve">ร้านกาแฟ/ชา, อาหารมังสวิรัติ, อาหารกล่อง/ข้าวกล่อง เดลิเวอรี</t>
  </si>
  <si>
    <t xml:space="preserve">25 ถนน แม่หลวน ตำบล ตลาดเหนือ อำเภอเมืองภูเก็ต ภูเก็ต 83000</t>
  </si>
  <si>
    <t xml:space="preserve">096 249 4515</t>
  </si>
  <si>
    <t xml:space="preserve">https://www.facebook.com/Kinsook.HappyEating/</t>
  </si>
  <si>
    <t xml:space="preserve">กินสุข (Kinsook) 
ที่อยู่ 25 ถนน แม่หลวน ตำบล ตลาดเหนือ อำเภอเมืองภูเก็ต ภูเก็ต 83000</t>
  </si>
  <si>
    <t xml:space="preserve">https://thailandtourismdirectory.go.th/th/restaurants/91463</t>
  </si>
  <si>
    <t xml:space="preserve">https://files.thailandtourismdirectory.go.th/assets/upload/2018/11/13/20181113c4ca4238a0b923820dcc509a6f75849b114605.jpg</t>
  </si>
  <si>
    <t xml:space="preserve">กิมแจ้ (Kimjaephuket)</t>
  </si>
  <si>
    <t xml:space="preserve">ก๋วยเตี๋ยว, อาหารใต้, อาหารจานเดียว/ตามสั่ง</t>
  </si>
  <si>
    <t xml:space="preserve">29 พูลผล ซอย 3 ตำบล ตลาดเหนือ อำเภอเมืองภูเก็ต ภูเก็ต 83000</t>
  </si>
  <si>
    <t xml:space="preserve">084 646 5197</t>
  </si>
  <si>
    <t xml:space="preserve">https://www.facebook.com/kimjaephuket/</t>
  </si>
  <si>
    <t xml:space="preserve">Mon 10:30-18:00; Tu 10:30-18:00; Thu 10:30-18:00; Fri 10:30-18:00; Sat 10:30-18:00; Sun 10:30-18:00</t>
  </si>
  <si>
    <t xml:space="preserve">กิมแจ้ (Kimjaephuket) 
ที่อยู่ 29 พูลผล ซอย 3 ตำบล ตลาดเหนือ อำเภอเมืองภูเก็ต ภูเก็ต 83000</t>
  </si>
  <si>
    <t xml:space="preserve">https://thailandtourismdirectory.go.th/th/restaurants/91304</t>
  </si>
  <si>
    <t xml:space="preserve">https://files.thailandtourismdirectory.go.th/assets/upload/2018/11/08/20181108c4ca4238a0b923820dcc509a6f75849b154511.jpg</t>
  </si>
  <si>
    <t xml:space="preserve">กู โรตี ชาชัก</t>
  </si>
  <si>
    <t xml:space="preserve">0614516231</t>
  </si>
  <si>
    <t xml:space="preserve">https://www.facebook.com/guurotiphuket/</t>
  </si>
  <si>
    <t xml:space="preserve">Mon 15:00-23:30; Tu 15:00-23:30; Wed 15:00-23:30; Thu 15:00-23:30; Fri 15:00-23:30; Sat 15:00-23:30; Sun 15:00-23:30</t>
  </si>
  <si>
    <t xml:space="preserve">กู โรตี ชาชัก 
ที่อยู่ ถนน วิรัชหงษ์หยก ตำบล ตลาดเหนือ อำเภอเมืองภูเก็ต ภูเก็ต 83000</t>
  </si>
  <si>
    <t xml:space="preserve">https://thailandtourismdirectory.go.th/th/restaurants/91146</t>
  </si>
  <si>
    <t xml:space="preserve">https://files.thailandtourismdirectory.go.th/assets/upload/2018/11/07/20181107c4ca4238a0b923820dcc509a6f75849b103257.jpg</t>
  </si>
  <si>
    <t xml:space="preserve">ก๋วยเตี๋ยวชากังราว</t>
  </si>
  <si>
    <t xml:space="preserve">ถนน ปฏิพัทธิ์ ตำบล ตลาดเหนือ อำเภอเมืองภูเก็ต ภูเก็ต 83000</t>
  </si>
  <si>
    <t xml:space="preserve">085-155-2341</t>
  </si>
  <si>
    <t xml:space="preserve">https://www.facebook.com/Chakangraw/</t>
  </si>
  <si>
    <t xml:space="preserve">Mon 11:00-20:30; Tu 11:00-20:30; Wed 11:00-20:30; Thu 11:00-20:30; Sat 11:00-20:30; Sun 11:00-20:30</t>
  </si>
  <si>
    <t xml:space="preserve">ก๋วยเตี๋ยวชากังราว 
ที่อยู่ ถนน ปฏิพัทธิ์ ตำบล ตลาดเหนือ อำเภอเมืองภูเก็ต ภูเก็ต 83000</t>
  </si>
  <si>
    <t xml:space="preserve">https://thailandtourismdirectory.go.th/th/restaurants/90835</t>
  </si>
  <si>
    <t xml:space="preserve">https://files.thailandtourismdirectory.go.th/assets/upload/2018/11/02/20181102c4ca4238a0b923820dcc509a6f75849b091243.jpg</t>
  </si>
  <si>
    <t xml:space="preserve">ก๋วยเตี๋ยวชามกะลาเขารัง</t>
  </si>
  <si>
    <t xml:space="preserve">094 591 2414</t>
  </si>
  <si>
    <t xml:space="preserve">https://www.facebook.com/kalanoodle2/</t>
  </si>
  <si>
    <t xml:space="preserve">Mon 10:30-22:00; Tu 10:30-22:00; Thu 10:30-22:00; Fri 10:30-22:00; Sat 10:30-22:00; Sun 10:30-22:00</t>
  </si>
  <si>
    <t xml:space="preserve">ก๋วยเตี๋ยวชามกะลาเขารัง
ที่อยู่ 46/14 ถนน แม่หลวน ตำบล รัษฎา อำเภอเมืองภูเก็ต ภูเก็ต 83000</t>
  </si>
  <si>
    <t xml:space="preserve">https://thailandtourismdirectory.go.th/th/restaurants/91451</t>
  </si>
  <si>
    <t xml:space="preserve">https://files.thailandtourismdirectory.go.th/assets/upload/2018/11/13/20181113c4ca4238a0b923820dcc509a6f75849b104443.jpg</t>
  </si>
  <si>
    <t xml:space="preserve">ก๋วยเตี๋ยวต้มยำ By Mr.Wut</t>
  </si>
  <si>
    <t xml:space="preserve">5 ถนน ดีบุก ตำบล ตลาดใหญ่ อำเภอเมืองภูเก็ต ภูเก็ต 83000</t>
  </si>
  <si>
    <t xml:space="preserve">084 991 7029</t>
  </si>
  <si>
    <t xml:space="preserve">https://www.facebook.com/%E0%B8%81%E0%B9%8B%E0%B8%A7%E0%B8%A2%E0%B9%80%E0%B8%95%E0%B8%B5%E0%B9%8B%E0%B8%A2%E0%B8%A7%E0%B8%95%E0%B9%89%E0%B8%A1%E0%B8%A2%E0%B8%B3-By-Mr-Wut-1135444183255021/</t>
  </si>
  <si>
    <t xml:space="preserve">Mon 09:00-15:00; Tu 09:00-15:00; Wed 09:00-15:00; Thu 09:00-15:00; Fri 09:00-15:00; Sat 09:00-15:00; Sun 09:00-15:00</t>
  </si>
  <si>
    <t xml:space="preserve">ก๋วยเตี๋ยวต้มยำ By Mr.Wut
ที่อยู่ 5 ถนน ดีบุก ตำบล ตลาดใหญ่ อำเภอเมืองภูเก็ต ภูเก็ต 83000</t>
  </si>
  <si>
    <t xml:space="preserve">https://thailandtourismdirectory.go.th/th/restaurants/91786</t>
  </si>
  <si>
    <t xml:space="preserve">https://files.thailandtourismdirectory.go.th/assets/upload/2018/11/14/20181114c4ca4238a0b923820dcc509a6f75849b143355.jpg</t>
  </si>
  <si>
    <t xml:space="preserve">ก๋วยเตี๋ยวต้มยำกุ้งมะนาวไข่หวาน</t>
  </si>
  <si>
    <t xml:space="preserve">49 ซอย หงษ์หยกอุทิศ ตำบล ตลาดใหญ่ อำเภอเมืองภูเก็ต ภูเก็ต 83000</t>
  </si>
  <si>
    <t xml:space="preserve">0987381563 </t>
  </si>
  <si>
    <t xml:space="preserve">https://www.facebook.com/bangnamkon/</t>
  </si>
  <si>
    <t xml:space="preserve">Mon 11:00-20:30; Tu 11:00-20:30; Wed 11:00-20:30; Thu 11:00-20:30; Fri 11:00-20:30; Sat 11:00-20:30; Sun 11:00-20:30</t>
  </si>
  <si>
    <t xml:space="preserve">ก๋วยเตี๋ยวต้มยำกุ้งมะนาวไข่หวาน
ที่อยู่ 49 ซอย หงษ์หยกอุทิศ ตำบล ตลาดใหญ่ อำเภอเมืองภูเก็ต ภูเก็ต 83000</t>
  </si>
  <si>
    <t xml:space="preserve">https://thailandtourismdirectory.go.th/th/restaurants/90858</t>
  </si>
  <si>
    <t xml:space="preserve">https://files.thailandtourismdirectory.go.th/assets/upload/2018/11/02/20181102c4ca4238a0b923820dcc509a6f75849b140734.jpg</t>
  </si>
  <si>
    <t xml:space="preserve">ก๋วยเตี๋ยวถูกปาก (Thookpak)</t>
  </si>
  <si>
    <t xml:space="preserve">ก๋วยเตี๋ยว, อาหารจานเดียว/ตามสั่ง</t>
  </si>
  <si>
    <t xml:space="preserve">3 ประยูร ซอย 2 ตำบล ตลาดใหญ่ อำเภอเมืองภูเก็ต ภูเก็ต 83000</t>
  </si>
  <si>
    <t xml:space="preserve">089 175 9664</t>
  </si>
  <si>
    <t xml:space="preserve">https://www.facebook.com/Thookpak/</t>
  </si>
  <si>
    <t xml:space="preserve">Mon 10:00-21:00; Tu 10:00-21:00; Thu 10:00-21:00; Fri 10:00-21:00; Sat 10:00-21:00; Sun 10:00-21:00</t>
  </si>
  <si>
    <t xml:space="preserve">ก๋วยเตี๋ยวถูกปาก (Thookpak) 
ที่อยู่ 3 ประยูร ซอย 2 ตำบล ตลาดใหญ่ อำเภอเมืองภูเก็ต ภูเก็ต 83000</t>
  </si>
  <si>
    <t xml:space="preserve">https://thailandtourismdirectory.go.th/th/restaurants/91192</t>
  </si>
  <si>
    <t xml:space="preserve">https://files.thailandtourismdirectory.go.th/assets/upload/2018/11/07/20181107c4ca4238a0b923820dcc509a6f75849b144128.jpg</t>
  </si>
  <si>
    <t xml:space="preserve">ก๋วยเตี๋ยวหมูเลียง (Mooleang Noodle)</t>
  </si>
  <si>
    <t xml:space="preserve">ก๋วยเตี๋ยว, ของหวาน</t>
  </si>
  <si>
    <t xml:space="preserve">ถนน ร่วมพัฒนา ตำบล รัษฎา อำเภอเมืองภูเก็ต ภูเก็ต 83000</t>
  </si>
  <si>
    <t xml:space="preserve">076 525 808</t>
  </si>
  <si>
    <t xml:space="preserve">https://www.facebook.com/mooleangphuket/</t>
  </si>
  <si>
    <t xml:space="preserve">Mon 11:00-15:00; Tu 11:00-15:00; Wed 11:00-15:00; Thu 11:00-15:00; Fri 11:00-15:00; Sat 11:00-15:00; Sun 11:00-15:00</t>
  </si>
  <si>
    <t xml:space="preserve">ก๋วยเตี๋ยวหมูเลียง (Mooleang Noodle) 
ที่อยู่ ถนน ร่วมพัฒนา ตำบล รัษฎา อำเภอเมืองภูเก็ต ภูเก็ต 83000</t>
  </si>
  <si>
    <t xml:space="preserve">https://thailandtourismdirectory.go.th/th/restaurants/91390</t>
  </si>
  <si>
    <t xml:space="preserve">https://files.thailandtourismdirectory.go.th/assets/upload/2018/11/09/20181109c4ca4238a0b923820dcc509a6f75849b152803.jpg</t>
  </si>
  <si>
    <t xml:space="preserve">ก๋วยเตี๋ยวเนื้อวัวรับอรุณ (Rap Arun Meat Noodle)</t>
  </si>
  <si>
    <t xml:space="preserve">ก๋วยเตี๋ยว, อาหารไทย</t>
  </si>
  <si>
    <t xml:space="preserve">084 920 1000</t>
  </si>
  <si>
    <t xml:space="preserve">https://www.facebook.com/%E0%B8%A3%E0%B9%89%E0%B8%B2%E0%B8%99%E0%B8%81%E0%B9%8B%E0%B8%A7%E0%B8%A2%E0%B9%80%E0%B8%95%E0%B8%B5%E0%B9%8B%E0%B8%A2%E0%B8%A7%E0%B9%80%E0%B8%99%E0%B8%B7%E0%B9%89%E0%B8%AD%E0%B8%A7%E0%B8%B1%E0%B8%A7%E0%B8%A3%E0%B8%B1%E0%B8%9A%E0%B8%AD%E0%B8%A3%E0%B8%B8%E0%B8%93-548427398643882/</t>
  </si>
  <si>
    <t xml:space="preserve">Mon 06:00-16:00; Tu 06:00-16:00; Wed 06:00-16:00; Thu 06:00-16:00; Sat 06:00-16:00; Sun 06:00-16:00</t>
  </si>
  <si>
    <t xml:space="preserve">ก๋วยเตี๋ยวเนื้อวัวรับอรุณ (Rap Arun Meat Noodle) 
ที่อยู่ 367/22 ถนนเยาวราช ตำบล ตลาดใหญ่ อำเภอเมืองภูเก็ต ภูเก็ต 83000</t>
  </si>
  <si>
    <t xml:space="preserve">https://thailandtourismdirectory.go.th/th/restaurants/91423</t>
  </si>
  <si>
    <t xml:space="preserve">https://files.thailandtourismdirectory.go.th/assets/upload/2018/11/12/20181112c4ca4238a0b923820dcc509a6f75849b131732.jpg</t>
  </si>
  <si>
    <t xml:space="preserve">ก๋วยเตี๋ยวเรือลอยลำ</t>
  </si>
  <si>
    <t xml:space="preserve">084 729 4637</t>
  </si>
  <si>
    <t xml:space="preserve">https://www.facebook.com/%E0%B8%81%E0%B9%8B%E0%B8%A7%E0%B8%A2%E0%B9%80%E0%B8%95%E0%B8%B5%E0%B9%8B%E0%B8%A2%E0%B8%A7%E0%B9%80%E0%B8%A3%E0%B8%B7%E0%B8%AD%E0%B8%A5%E0%B8%AD%E0%B8%A2%E0%B8%A5%E0%B8%B3-1016319751722623/</t>
  </si>
  <si>
    <t xml:space="preserve">ก๋วยเตี๋ยวเรือลอยลำ 
ที่อยู่ 51 ซอย หงษ์หยกอุทิศ ตำบล ตลาดใหญ่ อำเภอเมืองภูเก็ต ภูเก็ต 83000</t>
  </si>
  <si>
    <t xml:space="preserve">https://thailandtourismdirectory.go.th/th/restaurants/91979</t>
  </si>
  <si>
    <t xml:space="preserve">https://files.thailandtourismdirectory.go.th/assets/upload/2018/11/15/20181115c4ca4238a0b923820dcc509a6f75849b142238.jpg</t>
  </si>
  <si>
    <t xml:space="preserve">ก๋วยเตี๋ยวเรือหางยาว (Longlaii Noodle)</t>
  </si>
  <si>
    <t xml:space="preserve">095 841 1827</t>
  </si>
  <si>
    <t xml:space="preserve">https://www.facebook.com/Tiaohangyao/</t>
  </si>
  <si>
    <t xml:space="preserve">ก๋วยเตี๋ยวเรือหางยาว (Longlaii Noodle) 
ที่อยู่ ถนนวิชิตสงคราม ตำบล กะทู้ อำเภอ กะทู้ ภูเก็ต 83120</t>
  </si>
  <si>
    <t xml:space="preserve">https://thailandtourismdirectory.go.th/th/restaurants/91251</t>
  </si>
  <si>
    <t xml:space="preserve">https://files.thailandtourismdirectory.go.th/assets/upload/2018/11/08/20181108c4ca4238a0b923820dcc509a6f75849b105549.jpg</t>
  </si>
  <si>
    <t xml:space="preserve">ก๋วยเตี๋ยวเรืออัมพวา (AMPHAWA NOODLE)</t>
  </si>
  <si>
    <t xml:space="preserve">089 908 2709</t>
  </si>
  <si>
    <t xml:space="preserve">https://www.facebook.com/%E0%B8%81%E0%B9%8B%E0%B8%A7%E0%B8%A2%E0%B9%80%E0%B8%95%E0%B8%B5%E0%B9%8B%E0%B8%A2%E0%B8%A7%E0%B9%80%E0%B8%A3%E0%B8%B7%E0%B8%AD%E0%B8%AD%E0%B8%B1%E0%B8%A1%E0%B8%9E%E0%B8%A7%E0%B8%B2%E0%B8%A0%E0%B8%B9%E0%B9%80%E0%B8%81%E0%B9%87%E0%B8%95-181675448843941/</t>
  </si>
  <si>
    <t xml:space="preserve">Mon 10:30-18:30; Wed 10:30-18:30; Thu 10:30-18:30; Fri 10:30-18:30; Sat 10:30-18:30; Sun 10:30-18:30</t>
  </si>
  <si>
    <t xml:space="preserve">ก๋วยเตี๋ยวเรืออัมพวา (AMPHAWA NOODLE) 
ที่อยู่ ภก.3001 ตำบล รัษฎา อำเภอเมืองภูเก็ต ภูเก็ต 83000</t>
  </si>
  <si>
    <t xml:space="preserve">https://thailandtourismdirectory.go.th/th/restaurants/91296</t>
  </si>
  <si>
    <t xml:space="preserve">https://files.thailandtourismdirectory.go.th/assets/upload/2018/11/08/20181108c4ca4238a0b923820dcc509a6f75849b151029.jpg</t>
  </si>
  <si>
    <t xml:space="preserve">ขนมจีนจี้ลิ่ว (Kanom Jeen Jee Leaw)</t>
  </si>
  <si>
    <t xml:space="preserve">402 ตำบล เทพกระษัตรี อำเภอ ถลาง ภูเก็ต 83110</t>
  </si>
  <si>
    <t xml:space="preserve">081 256 9615</t>
  </si>
  <si>
    <t xml:space="preserve">https://www.facebook.com/kanomjeenjeelewthalang/</t>
  </si>
  <si>
    <t xml:space="preserve">Mon 08:30-14:00; Tu 08:30-14:00; Thu 08:30-14:00; Fri 08:30-14:00; Sat 08:30-14:00; Sun 08:30-14:00</t>
  </si>
  <si>
    <t xml:space="preserve">ขนมจีนจี้ลิ่ว (Kanom Jeen Jee Leaw) 
ที่อยู่ 402 ตำบล เทพกระษัตรี อำเภอ ถลาง ภูเก็ต 83110</t>
  </si>
  <si>
    <t xml:space="preserve">https://thailandtourismdirectory.go.th/th/restaurants/90945</t>
  </si>
  <si>
    <t xml:space="preserve">https://files.thailandtourismdirectory.go.th/assets/upload/2018/11/05/20181105c4ca4238a0b923820dcc509a6f75849b161421.jpg</t>
  </si>
  <si>
    <t xml:space="preserve">ขนมจีนสะพานหิน</t>
  </si>
  <si>
    <t xml:space="preserve">0831755571</t>
  </si>
  <si>
    <t xml:space="preserve">https://www.facebook.com/KanomChinSaphanHin/</t>
  </si>
  <si>
    <t xml:space="preserve">ขนมจีนสะพานหิน 
ที่อยู่ ถนน ภูเก็ต ตำบล ตลาดใหญ่ อำเภอเมืองภูเก็ต ภูเก็ต 83000</t>
  </si>
  <si>
    <t xml:space="preserve">https://thailandtourismdirectory.go.th/th/restaurants/90871</t>
  </si>
  <si>
    <t xml:space="preserve">https://files.thailandtourismdirectory.go.th/assets/upload/2018/11/02/20181102c4ca4238a0b923820dcc509a6f75849b152357.jpg</t>
  </si>
  <si>
    <t xml:space="preserve">ขนมจีนแม่ติ่ง (Khanomchin Mae Ting)</t>
  </si>
  <si>
    <t xml:space="preserve">095 190 5049</t>
  </si>
  <si>
    <t xml:space="preserve">https://www.facebook.com/kanomjeenmaeting/</t>
  </si>
  <si>
    <t xml:space="preserve">Mon 06:00-12:30; Tu 06:00-12:30; Wed 06:00-12:30; Thu 06:00-12:30; Fri 06:00-12:30; Sat 06:00-12:30; Sun 06:00-12:30</t>
  </si>
  <si>
    <t xml:space="preserve">ขนมจีนแม่ติ่ง (Khanomchin Mae Ting) 
ที่อยู่ 51 ถนน สตูล ตำบล ตลาดเหนือ อำเภอเมืองภูเก็ต ภูเก็ต 83000</t>
  </si>
  <si>
    <t xml:space="preserve">https://thailandtourismdirectory.go.th/th/restaurants/90815</t>
  </si>
  <si>
    <t xml:space="preserve">https://files.thailandtourismdirectory.go.th/assets/upload/2018/11/01/20181101c4ca4238a0b923820dcc509a6f75849b144142.jpg</t>
  </si>
  <si>
    <t xml:space="preserve">ขนำจ่าหอย (Kanum Jahoi)</t>
  </si>
  <si>
    <t xml:space="preserve">081 597 3794</t>
  </si>
  <si>
    <t xml:space="preserve">https://www.facebook.com/kanumjahoi/</t>
  </si>
  <si>
    <t xml:space="preserve">Mon 16:00-20:00; Tu 16:00-20:00; Wed 16:00-20:00; Thu 16:00-20:00; Fri 16:00-20:00; Sat 16:00-20:00; Sun 16:00-20:00</t>
  </si>
  <si>
    <t xml:space="preserve">ขนำจ่าหอย (Kanum Jahoi)
ที่อยู่ ถนน กระ ตำบล ตลาดใหญ่ อำเภอเมืองภูเก็ต ภูเก็ต 83000</t>
  </si>
  <si>
    <t xml:space="preserve">https://thailandtourismdirectory.go.th/th/restaurants/91474</t>
  </si>
  <si>
    <t xml:space="preserve">https://files.thailandtourismdirectory.go.th/assets/upload/2018/11/13/20181113c4ca4238a0b923820dcc509a6f75849b135329.jpg</t>
  </si>
  <si>
    <t xml:space="preserve">ขาหมูโบราณ กะทู้ แอนด์ เดอะ คาเฟ่</t>
  </si>
  <si>
    <t xml:space="preserve">143 Prachasamakhee Rd, ตำบล รัษฎา อำเภอเมืองภูเก็ต ภูเก็ต 83000</t>
  </si>
  <si>
    <t xml:space="preserve">064 030 5888</t>
  </si>
  <si>
    <t xml:space="preserve">https://www.facebook.com/%E0%B8%A3%E0%B9%89%E0%B8%B2%E0%B8%99%E0%B8%82%E0%B8%B2%E0%B8%AB%E0%B8%A1%E0%B8%B9%E0%B9%82%E0%B8%9A%E0%B8%A3%E0%B8%B2%E0%B8%93%E0%B8%81%E0%B8%B0%E0%B8%97%E0%B8%B9%E0%B9%89%E0%B9%81%E0%B8%AD%E0%B8%99%E0%B8%94%E0%B9%8C%E0%B9%80%E0%B8%94%E0%B8%AD%E0%B8%B0%E0%B8%84%E0%B8%B2%E0%B9%80%E0%B8%9F%E0%B9%88-%E5%AE%81%E8%AE%B0%E7%A7%98%E5%88%B6%E7%8C%AA%E8%84%9A%E9%A5%AD-1050236831729744/</t>
  </si>
  <si>
    <t xml:space="preserve">ขาหมูโบราณ กะทู้ แอนด์ เดอะ คาเฟ่
ที่อยู่ 143 Prachasamakhee Rd, ตำบล รัษฎา อำเภอเมืองภูเก็ต ภูเก็ต 83000</t>
  </si>
  <si>
    <t xml:space="preserve">https://thailandtourismdirectory.go.th/th/restaurants/91279</t>
  </si>
  <si>
    <t xml:space="preserve">https://files.thailandtourismdirectory.go.th/assets/upload/2018/11/08/20181108c4ca4238a0b923820dcc509a6f75849b140813.jpg</t>
  </si>
  <si>
    <t xml:space="preserve">ขาใหญ่ ไก่ซุปเปอร์</t>
  </si>
  <si>
    <t xml:space="preserve">087 414 6545</t>
  </si>
  <si>
    <t xml:space="preserve">https://www.facebook.com/ZAPPLIMITED/</t>
  </si>
  <si>
    <t xml:space="preserve">ขาใหญ่ ไก่ซุปเปอร์ 
ที่อยู่ ถนน พังงา ตำบล ตลาดใหญ่ อำเภอเมืองภูเก็ต ภูเก็ต 83000</t>
  </si>
  <si>
    <t xml:space="preserve">https://thailandtourismdirectory.go.th/th/restaurants/91985</t>
  </si>
  <si>
    <t xml:space="preserve">https://files.thailandtourismdirectory.go.th/assets/upload/2018/11/15/20181115c4ca4238a0b923820dcc509a6f75849b151119.jpg</t>
  </si>
  <si>
    <t xml:space="preserve">ข้าวซอยล้านนา ภูเก็ต</t>
  </si>
  <si>
    <t xml:space="preserve">อาหารเหนือ</t>
  </si>
  <si>
    <t xml:space="preserve">31/25 ถนนวิชิตสงคราม ตำบล กะทู้ อำเภอ กะทู้ ภูเก็ต 83120</t>
  </si>
  <si>
    <t xml:space="preserve">095 995 6118</t>
  </si>
  <si>
    <t xml:space="preserve">https://www.facebook.com/KhaosoiLanna/</t>
  </si>
  <si>
    <t xml:space="preserve">Mon 12:00-21:00; Tu 12:00-21:00; Wed 12:00-21:00; Thu 12:00-21:00; Fri 12:00-21:00; Sat 12:00-21:00; Sun 12:00-21:00</t>
  </si>
  <si>
    <t xml:space="preserve">ข้าวซอยล้านนา ภูเก็ต
ที่อยู่ 31/25 ถนนวิชิตสงคราม ตำบล กะทู้ อำเภอ กะทู้ ภูเก็ต 83120</t>
  </si>
  <si>
    <t xml:space="preserve">https://thailandtourismdirectory.go.th/th/restaurants/92101</t>
  </si>
  <si>
    <t xml:space="preserve">https://files.thailandtourismdirectory.go.th/assets/upload/2018/11/16/20181116c4ca4238a0b923820dcc509a6f75849b133542.jpg</t>
  </si>
  <si>
    <t xml:space="preserve">ข้าวต้มเจ๊หลี (JeLee)</t>
  </si>
  <si>
    <t xml:space="preserve">อาหารใต้, ร้านข้าวต้ม</t>
  </si>
  <si>
    <t xml:space="preserve">094 593 8989</t>
  </si>
  <si>
    <t xml:space="preserve">https://www.facebook.com/khaotomjelee/</t>
  </si>
  <si>
    <t xml:space="preserve">Mon 16:00-20:00; Tu 16:00-20:00; Wed 16:00-20:00; Thu 16:00-20:00; Fri 16:00-20:00; Sat 16:00-20:00</t>
  </si>
  <si>
    <t xml:space="preserve">ข้าวต้มเจ๊หลี (JeLee) 
ที่อยู่ 98 ถนน กระบี่ ตำบล ตลาดเหนือ อำเภอเมืองภูเก็ต ภูเก็ต 83000</t>
  </si>
  <si>
    <t xml:space="preserve">https://thailandtourismdirectory.go.th/th/restaurants/91412</t>
  </si>
  <si>
    <t xml:space="preserve">https://files.thailandtourismdirectory.go.th/assets/upload/2018/11/12/20181112c4ca4238a0b923820dcc509a6f75849b102710.jpg</t>
  </si>
  <si>
    <t xml:space="preserve">ข้าวต้มแป๊ะอ้วน (Khao Thom Paeaun)</t>
  </si>
  <si>
    <t xml:space="preserve">อาหารจีน</t>
  </si>
  <si>
    <t xml:space="preserve">304/2 ถนนเยาวราช ตำบล รัษฎา อำเภอเมืองภูเก็ต ภูเก็ต 83000</t>
  </si>
  <si>
    <t xml:space="preserve">084 744 4004</t>
  </si>
  <si>
    <t xml:space="preserve">https://www.facebook.com/paeaun/</t>
  </si>
  <si>
    <t xml:space="preserve">Mon 16:00-23:30; Tu 16:00-23:30; Wed 16:00-23:30; Thu 16:00-23:30; Fri 16:00-23:30; Sun 16:00-23:30</t>
  </si>
  <si>
    <t xml:space="preserve">ข้าวต้มแป๊ะอ้วน (Khao Thom Paeaun)
ที่อยู่ 304/2 ถนนเยาวราช ตำบล รัษฎา อำเภอเมืองภูเก็ต ภูเก็ต 83000</t>
  </si>
  <si>
    <t xml:space="preserve">https://thailandtourismdirectory.go.th/th/restaurants/91317</t>
  </si>
  <si>
    <t xml:space="preserve">https://files.thailandtourismdirectory.go.th/assets/upload/2018/11/09/20181109c4ca4238a0b923820dcc509a6f75849b095539.jpg</t>
  </si>
  <si>
    <t xml:space="preserve">ครัวคนละสวน (Konlasuan BBQ&amp;Hangout)</t>
  </si>
  <si>
    <t xml:space="preserve">อาหารทะเล, อาหารอีสาน/ร้านส้มตำ, อาหารจานเดียว/ตามสั่ง</t>
  </si>
  <si>
    <t xml:space="preserve">065 523 5055</t>
  </si>
  <si>
    <t xml:space="preserve">https://www.facebook.com/konlasuanshop/</t>
  </si>
  <si>
    <t xml:space="preserve">Sun 17:00-23:59; Mon 00:00-02:00; Mon 17:00-23:59; Tu 00:00-02:00; Tu 17:00-23:59; Wed 00:00-02:00; Wed 17:00-23:59; Thu 00:00-02:00; Thu 17:00-23:59; Fri 00:00-02:00; Fri 17:00-23:59; Sat 00:00-02:00; Sat 17:00-23:59; Sun 00:00-02:00</t>
  </si>
  <si>
    <t xml:space="preserve">ครัวคนละสวน (Konlasuan BBQ&amp;Hangout) 
ที่อยู่ ตำบล กะทู้ อำเภอ กะทู้ ภูเก็ต 83120</t>
  </si>
  <si>
    <t xml:space="preserve">https://thailandtourismdirectory.go.th/th/restaurants/91302</t>
  </si>
  <si>
    <t xml:space="preserve">https://files.thailandtourismdirectory.go.th/assets/upload/2018/11/08/20181108c4ca4238a0b923820dcc509a6f75849b153447.jpg</t>
  </si>
  <si>
    <t xml:space="preserve">ครัวคุณโต้ง</t>
  </si>
  <si>
    <t xml:space="preserve">อาหารไทย, อาหารใต้, อาหารนานาชาติ</t>
  </si>
  <si>
    <t xml:space="preserve">ถนน เอกวานิช ตำบล รัษฎา อำเภอเมืองภูเก็ต ภูเก็ต 83000</t>
  </si>
  <si>
    <t xml:space="preserve">076 606 618</t>
  </si>
  <si>
    <t xml:space="preserve">https://www.facebook.com/tong.kitchen/</t>
  </si>
  <si>
    <t xml:space="preserve">Tu 11:30-22:00; Wed 11:30-22:00; Thu 11:30-22:00; Fri 11:30-22:00; Sat 11:30-22:00; Sun 11:30-22:00</t>
  </si>
  <si>
    <t xml:space="preserve">ครัวคุณโต้ง
ที่อยู่ ถนน เอกวานิช ตำบล รัษฎา อำเภอเมืองภูเก็ต ภูเก็ต 83000</t>
  </si>
  <si>
    <t xml:space="preserve">https://thailandtourismdirectory.go.th/th/restaurants/91285</t>
  </si>
  <si>
    <t xml:space="preserve">https://files.thailandtourismdirectory.go.th/assets/upload/2018/11/08/20181108c4ca4238a0b923820dcc509a6f75849b143445.jpg</t>
  </si>
  <si>
    <t xml:space="preserve">ครัวบ้านขนม (Baan Kanom)</t>
  </si>
  <si>
    <t xml:space="preserve">076 378 338</t>
  </si>
  <si>
    <t xml:space="preserve">https://www.facebook.com/baankanomphuket/</t>
  </si>
  <si>
    <t xml:space="preserve">ครัวบ้านขนม (Baan Kanom) 
ที่อยู่ ถนน วิรัชหงษ์หยก ตำบล รัษฎา อำเภอเมืองภูเก็ต ภูเก็ต 83000</t>
  </si>
  <si>
    <t xml:space="preserve">https://thailandtourismdirectory.go.th/th/restaurants/91769</t>
  </si>
  <si>
    <t xml:space="preserve">https://files.thailandtourismdirectory.go.th/assets/upload/2018/11/14/20181114c4ca4238a0b923820dcc509a6f75849b131513.jpg</t>
  </si>
  <si>
    <t xml:space="preserve">ครัวพระยาภูเก็ต</t>
  </si>
  <si>
    <t xml:space="preserve">อาหารใต้, อาหารจานเดียว/ตามสั่ง</t>
  </si>
  <si>
    <t xml:space="preserve">ซอย หัวท่า ตำบล ศรีสุนทร อำเภอ ถลาง ภูเก็ต 83110</t>
  </si>
  <si>
    <t xml:space="preserve">093-138-6789</t>
  </si>
  <si>
    <t xml:space="preserve">https://www.facebook.com/kruaprayaphuket9/</t>
  </si>
  <si>
    <t xml:space="preserve">Mon 10:00-21:00; Tu 10:00-21:00; Wed 10:00-21:00; Fri 10:00-21:00; Sat 10:00-21:00; Sun 10:00-21:00</t>
  </si>
  <si>
    <t xml:space="preserve">ครัวพระยาภูเก็ต
ที่อยู่ ซอย หัวท่า ตำบล ศรีสุนทร อำเภอ ถลาง ภูเก็ต 83110</t>
  </si>
  <si>
    <t xml:space="preserve">https://thailandtourismdirectory.go.th/th/restaurants/91445</t>
  </si>
  <si>
    <t xml:space="preserve">https://files.thailandtourismdirectory.go.th/assets/upload/2018/11/13/20181113c4ca4238a0b923820dcc509a6f75849b094622.jpg</t>
  </si>
  <si>
    <t xml:space="preserve">ครัวยายด้วง</t>
  </si>
  <si>
    <t xml:space="preserve">ไม่มีที่นั่ง</t>
  </si>
  <si>
    <t xml:space="preserve">ภก.4007 ตำบล เทพกระษัตรี อำเภอ ถลาง ภูเก็ต 83110</t>
  </si>
  <si>
    <t xml:space="preserve">0873882220</t>
  </si>
  <si>
    <t xml:space="preserve">https://www.facebook.com/kruayaiduangphuket/</t>
  </si>
  <si>
    <t xml:space="preserve">Mon 06:00-19:00; Tu 06:00-19:00; Wed 06:00-19:00; Thu 06:00-19:00; Fri 06:00-19:00; Sat 06:00-19:00; Sun 06:00-19:00</t>
  </si>
  <si>
    <t xml:space="preserve">ครัวยายด้วง 
ที่อยู่ ภก.4007 ตำบล เทพกระษัตรี อำเภอ ถลาง ภูเก็ต 83110</t>
  </si>
  <si>
    <t xml:space="preserve">https://thailandtourismdirectory.go.th/th/restaurants/91781</t>
  </si>
  <si>
    <t xml:space="preserve">https://files.thailandtourismdirectory.go.th/assets/upload/2018/11/14/20181114c4ca4238a0b923820dcc509a6f75849b141551.jpg</t>
  </si>
  <si>
    <t xml:space="preserve">ครัวย่าหยา (Yaya Kitchen)</t>
  </si>
  <si>
    <t xml:space="preserve">อาหารใต้</t>
  </si>
  <si>
    <t xml:space="preserve">402 ตำบล ศรีสุนทร อำเภอ ถลาง ภูเก็ต 83110</t>
  </si>
  <si>
    <t xml:space="preserve">076 313 556</t>
  </si>
  <si>
    <t xml:space="preserve">https://www.facebook.com/yayakitchenphuket/</t>
  </si>
  <si>
    <t xml:space="preserve">ครัวย่าหยา (Yaya Kitchen)
ที่อยู่ 402 ตำบล ศรีสุนทร อำเภอ ถลาง ภูเก็ต 83110</t>
  </si>
  <si>
    <t xml:space="preserve">https://thailandtourismdirectory.go.th/th/restaurants/91426</t>
  </si>
  <si>
    <t xml:space="preserve">https://files.thailandtourismdirectory.go.th/assets/upload/2018/11/12/20181112c4ca4238a0b923820dcc509a6f75849b135057.jpg</t>
  </si>
  <si>
    <t xml:space="preserve">ครัวศิลา ข้าวแกงไทย</t>
  </si>
  <si>
    <t xml:space="preserve">21 ซอย หงษ์หยกอุทิศ ตำบล ตลาดใหญ่ อำเภอเมืองภูเก็ต ภูเก็ต 83000</t>
  </si>
  <si>
    <t xml:space="preserve">084 305 3264</t>
  </si>
  <si>
    <t xml:space="preserve">https://www.facebook.com/KruaSilaThaiFood/</t>
  </si>
  <si>
    <t xml:space="preserve">ครัวศิลา ข้าวแกงไทย
ที่อยู่ 21 ซอย หงษ์หยกอุทิศ ตำบล ตลาดใหญ่ อำเภอเมืองภูเก็ต ภูเก็ต 83000</t>
  </si>
  <si>
    <t xml:space="preserve">https://thailandtourismdirectory.go.th/th/restaurants/92111</t>
  </si>
  <si>
    <t xml:space="preserve">https://files.thailandtourismdirectory.go.th/assets/upload/2018/11/16/20181116c4ca4238a0b923820dcc509a6f75849b143439.jpg</t>
  </si>
  <si>
    <t xml:space="preserve">ครัวอินดี้ by สเต็กยอดนักสู้</t>
  </si>
  <si>
    <t xml:space="preserve">สเต๊ก, ปิ้งย่าง</t>
  </si>
  <si>
    <t xml:space="preserve">083 176 9799 </t>
  </si>
  <si>
    <t xml:space="preserve">https://www.facebook.com/%E0%B8%84%E0%B8%A3%E0%B8%B1%E0%B8%A7%E0%B8%AD%E0%B8%B4%E0%B8%99%E0%B8%94%E0%B8%B5%E0%B9%89-by-%E0%B8%AA%E0%B9%80%E0%B8%95%E0%B9%87%E0%B8%81%E0%B8%A2%E0%B8%AD%E0%B8%94%E0%B8%99%E0%B8%B1%E0%B8%81%E0%B8%AA%E0%B8%B9%E0%B9%89-342926745890212/</t>
  </si>
  <si>
    <t xml:space="preserve">Mon 10:30-21:00; Tu 10:30-21:00; Wed 10:30-21:00; Thu 10:30-21:00; Fri 10:30-21:00; Sat 10:30-21:00</t>
  </si>
  <si>
    <t xml:space="preserve">ครัวอินดี้ by สเต็กยอดนักสู้ 
ที่อยู่ 304/2 ถนนเยาวราช ตำบล รัษฎา อำเภอเมืองภูเก็ต ภูเก็ต 83000</t>
  </si>
  <si>
    <t xml:space="preserve">https://thailandtourismdirectory.go.th/th/restaurants/90903</t>
  </si>
  <si>
    <t xml:space="preserve">https://files.thailandtourismdirectory.go.th/assets/upload/2018/11/05/20181105c4ca4238a0b923820dcc509a6f75849b133144.jpg</t>
  </si>
  <si>
    <t xml:space="preserve">ครัวเก๋ากึ๊ก</t>
  </si>
  <si>
    <t xml:space="preserve">อาหารทะเล, อาหารไทย, อาหารจานเดียว/ตามสั่ง</t>
  </si>
  <si>
    <t xml:space="preserve">1 พัฒนา ซอย 10 ตำบล ตลาดเหนือ อำเภอเมืองภูเก็ต ภูเก็ต 83000</t>
  </si>
  <si>
    <t xml:space="preserve">087 569 7574</t>
  </si>
  <si>
    <t xml:space="preserve">https://www.facebook.com/Kruakaokuk/</t>
  </si>
  <si>
    <t xml:space="preserve">Mon 15:00-22:00; Tu 15:00-22:00; Wed 15:00-22:00; Thu 15:00-22:00; Fri 15:00-22:00; Sat 15:00-22:00; Sun 15:00-22:00</t>
  </si>
  <si>
    <t xml:space="preserve">ครัวเก๋ากึ๊ก 
ที่อยู่ 1 พัฒนา ซอย 10 ตำบล ตลาดเหนือ อำเภอเมืองภูเก็ต ภูเก็ต 83000</t>
  </si>
  <si>
    <t xml:space="preserve">https://thailandtourismdirectory.go.th/th/restaurants/90892</t>
  </si>
  <si>
    <t xml:space="preserve">https://files.thailandtourismdirectory.go.th/assets/upload/2018/11/05/20181105c4ca4238a0b923820dcc509a6f75849b122121.jpg</t>
  </si>
  <si>
    <t xml:space="preserve">ครัวเชิงเล (บ้านป่าสัก)</t>
  </si>
  <si>
    <t xml:space="preserve">อาหารทะเล, อาหารใต้</t>
  </si>
  <si>
    <t xml:space="preserve">093 741 6703</t>
  </si>
  <si>
    <t xml:space="preserve">https://www.facebook.com/%E0%B8%84%E0%B8%A3%E0%B8%B1%E0%B8%A7%E0%B9%80%E0%B8%8A%E0%B8%B4%E0%B8%87%E0%B9%80%E0%B8%A5-%E0%B8%9A%E0%B9%89%E0%B8%B2%E0%B8%99%E0%B8%9B%E0%B9%88%E0%B8%B2%E0%B8%AA%E0%B8%B1%E0%B8%81-Chernglay-kitchen-1517885721760676/</t>
  </si>
  <si>
    <t xml:space="preserve">Mon 11:00-22:00; Tu 11:00-22:00; Wed 11:00-22:00; Thu 11:00-22:00; Fri 11:00-22:00; Sat 11:00-22:00</t>
  </si>
  <si>
    <t xml:space="preserve">ครัวเชิงเล (บ้านป่าสัก)
ที่อยู่ ถนน บ้านดอน-เชิงทะเล ตำบล เชิงทะเล อำเภอ ถลาง ภูเก็ต 83110</t>
  </si>
  <si>
    <t xml:space="preserve">https://thailandtourismdirectory.go.th/th/restaurants/91156</t>
  </si>
  <si>
    <t xml:space="preserve">https://files.thailandtourismdirectory.go.th/assets/upload/2018/11/07/20181107c4ca4238a0b923820dcc509a6f75849b111442.jpg</t>
  </si>
  <si>
    <t xml:space="preserve">ครัวโอมภูเก็ต</t>
  </si>
  <si>
    <t xml:space="preserve">อาหารไทย, อาหารใต้, อาหารจานเดียว/ตามสั่ง</t>
  </si>
  <si>
    <t xml:space="preserve">2130 ถนนวิชิตสงคราม ตำบล กะทู้ อำเภอ กะทู้ ภูเก็ต 83120</t>
  </si>
  <si>
    <t xml:space="preserve">086 904 2490</t>
  </si>
  <si>
    <t xml:space="preserve">https://www.facebook.com/OhmphuketRestaurant/</t>
  </si>
  <si>
    <t xml:space="preserve">ครัวโอมภูเก็ต 
ที่อยู่ 2130 ถนนวิชิตสงคราม ตำบล กะทู้ อำเภอ กะทู้ ภูเก็ต 83120</t>
  </si>
  <si>
    <t xml:space="preserve">https://thailandtourismdirectory.go.th/th/restaurants/91933</t>
  </si>
  <si>
    <t xml:space="preserve">https://files.thailandtourismdirectory.go.th/assets/upload/2018/11/15/20181115c4ca4238a0b923820dcc509a6f75849b095831.jpg</t>
  </si>
  <si>
    <t xml:space="preserve">ครัวไพลิน</t>
  </si>
  <si>
    <t xml:space="preserve">ซอย น้ำตกกระทู้ ตำบล กะทู้ อำเภอ กะทู้ ภูเก็ต 83120</t>
  </si>
  <si>
    <t xml:space="preserve">08 1956 2490 </t>
  </si>
  <si>
    <t xml:space="preserve">https://www.facebook.com/%E0%B8%84%E0%B8%A3%E0%B8%B1%E0%B8%A7%E0%B9%84%E0%B8%9E%E0%B8%A5%E0%B8%B4%E0%B8%99-%E0%B8%AA%E0%B8%B2%E0%B8%A1%E0%B8%81%E0%B8%AD%E0%B8%87-%E0%B8%A0%E0%B8%B9%E0%B9%80%E0%B8%81%E0%B9%87%E0%B8%95-260346587710097/</t>
  </si>
  <si>
    <t xml:space="preserve">ครัวไพลิน
ที่อยู่ ซอย น้ำตกกระทู้ ตำบล กะทู้ อำเภอ กะทู้ ภูเก็ต 83120</t>
  </si>
  <si>
    <t xml:space="preserve">https://thailandtourismdirectory.go.th/th/restaurants/91133</t>
  </si>
  <si>
    <t xml:space="preserve">https://files.thailandtourismdirectory.go.th/assets/upload/2018/11/07/20181107c4ca4238a0b923820dcc509a6f75849b095817.jpg</t>
  </si>
  <si>
    <t xml:space="preserve">คุณจี๊ดยอดผัก (Khun Jeed)</t>
  </si>
  <si>
    <t xml:space="preserve">83 ถนน พังงา ตำบล ตลาดใหญ่ อำเภอเมืองภูเก็ต ภูเก็ต 83000</t>
  </si>
  <si>
    <t xml:space="preserve">076 258 129</t>
  </si>
  <si>
    <t xml:space="preserve">https://www.facebook.com/khunjeedyodpak1/</t>
  </si>
  <si>
    <t xml:space="preserve">Mon 09:30-20:30; Tu 09:30-20:30; Thu 09:30-20:30; Fri 09:30-20:30; Sat 09:30-20:30; Sun 09:30-20:30</t>
  </si>
  <si>
    <t xml:space="preserve">คุณจี๊ดยอดผัก (Khun Jeed) 
ที่อยู่ 83 ถนน พังงา ตำบล ตลาดใหญ่ อำเภอเมืองภูเก็ต ภูเก็ต 83000</t>
  </si>
  <si>
    <t xml:space="preserve">https://thailandtourismdirectory.go.th/th/restaurants/90844</t>
  </si>
  <si>
    <t xml:space="preserve">https://files.thailandtourismdirectory.go.th/assets/upload/2018/11/02/20181102c4ca4238a0b923820dcc509a6f75849b102007.jpg</t>
  </si>
  <si>
    <t xml:space="preserve">คุณนายสาม</t>
  </si>
  <si>
    <t xml:space="preserve">18 ถนน ภูเก็ต ตำบล ตลาดใหญ่ อำเภอเมืองภูเก็ต ภูเก็ต 83000</t>
  </si>
  <si>
    <t xml:space="preserve">090 915 9289</t>
  </si>
  <si>
    <t xml:space="preserve">https://www.facebook.com/khun.nai.sam/</t>
  </si>
  <si>
    <t xml:space="preserve">Mon 13:00-23:59; Tu 17:00-23:59; Wed 13:00-23:59; Thu 13:00-23:59; Fri 13:00-23:59; Sat 13:00-23:59; Sun 13:00-23:59</t>
  </si>
  <si>
    <t xml:space="preserve">คุณนายสาม 
ที่อยู่ 18 ถนน ภูเก็ต ตำบล ตลาดใหญ่ อำเภอเมืองภูเก็ต ภูเก็ต 83000</t>
  </si>
  <si>
    <t xml:space="preserve">https://thailandtourismdirectory.go.th/th/restaurants/91450</t>
  </si>
  <si>
    <t xml:space="preserve">https://files.thailandtourismdirectory.go.th/assets/upload/2018/11/13/20181113c4ca4238a0b923820dcc509a6f75849b105300.jpg</t>
  </si>
  <si>
    <t xml:space="preserve">คุณภา (Khun Pha)</t>
  </si>
  <si>
    <t xml:space="preserve">1120 ถนน วิเศษ ตำบล ราไวย์ อำเภอเมืองภูเก็ต ภูเก็ต 83100</t>
  </si>
  <si>
    <t xml:space="preserve">076 613 647</t>
  </si>
  <si>
    <t xml:space="preserve">https://www.facebook.com/Khunpha.rawaibbq/</t>
  </si>
  <si>
    <t xml:space="preserve">คุณภา (Khun Pha) 
ที่อยู่ 1120 ถนน วิเศษ ตำบล ราไวย์ อำเภอเมืองภูเก็ต ภูเก็ต 83100</t>
  </si>
  <si>
    <t xml:space="preserve">https://thailandtourismdirectory.go.th/th/restaurants/90889</t>
  </si>
  <si>
    <t xml:space="preserve">https://files.thailandtourismdirectory.go.th/assets/upload/2018/11/05/20181105c4ca4238a0b923820dcc509a6f75849b120518.jpg</t>
  </si>
  <si>
    <t xml:space="preserve">คู่ขวัญ (Khu Khwan Restaurant)</t>
  </si>
  <si>
    <t xml:space="preserve">076 214 213</t>
  </si>
  <si>
    <t xml:space="preserve">https://www.facebook.com/Kookhawndimsum/</t>
  </si>
  <si>
    <t xml:space="preserve">Mon 06:00-11:30; Tu 06:00-11:30; Wed 06:00-11:30; Thu 06:00-11:30; Fri 06:00-11:30; Sat 06:00-11:30; Sun 06:00-11:30</t>
  </si>
  <si>
    <t xml:space="preserve">คู่ขวัญ (Khu Khwan Restaurant) 
ที่อยู่ ถนน ภูเก็ต ตำบล ตลาดใหญ่ อำเภอเมืองภูเก็ต ภูเก็ต 83000</t>
  </si>
  <si>
    <t xml:space="preserve">https://thailandtourismdirectory.go.th/th/restaurants/90934</t>
  </si>
  <si>
    <t xml:space="preserve">https://files.thailandtourismdirectory.go.th/assets/upload/2018/11/05/20181105c4ca4238a0b923820dcc509a6f75849b153148.jpg</t>
  </si>
  <si>
    <t xml:space="preserve">จั๊กจั่นซีฟู้ด</t>
  </si>
  <si>
    <t xml:space="preserve">402 ตำบล ไม้ขาว อำเภอ ถลาง ภูเก็ต 83110</t>
  </si>
  <si>
    <t xml:space="preserve">081 891 3731</t>
  </si>
  <si>
    <t xml:space="preserve">https://www.facebook.com/%E0%B8%A3%E0%B9%89%E0%B8%B2%E0%B8%99%E0%B8%AD%E0%B8%B2%E0%B8%AB%E0%B8%B2%E0%B8%A3-%E0%B8%88%E0%B8%B1%E0%B9%8A%E0%B8%81%E0%B8%88%E0%B8%B1%E0%B9%88%E0%B8%99%E0%B8%8B%E0%B8%B5%E0%B8%9F%E0%B8%B9%E0%B9%89%E0%B8%94-%E0%B8%AA%E0%B8%A7%E0%B8%99%E0%B8%A1%E0%B8%B0%E0%B8%9E%E0%B8%A3%E0%B9%89%E0%B8%B2%E0%B8%A7-1747860088835119/</t>
  </si>
  <si>
    <t xml:space="preserve">จั๊กจั่นซีฟู้ด 
ที่อยู่ 402 ตำบล ไม้ขาว อำเภอ ถลาง ภูเก็ต 83110</t>
  </si>
  <si>
    <t xml:space="preserve">https://thailandtourismdirectory.go.th/th/restaurants/90870</t>
  </si>
  <si>
    <t xml:space="preserve">https://files.thailandtourismdirectory.go.th/assets/upload/2018/11/02/20181102c4ca4238a0b923820dcc509a6f75849b151930.jpg</t>
  </si>
  <si>
    <t xml:space="preserve">จุดสามจุด ภูเก็ต</t>
  </si>
  <si>
    <t xml:space="preserve">29 ซอย ยินดีสนิท ตำบล รัษฎา อำเภอเมืองภูเก็ต ภูเก็ต 83000</t>
  </si>
  <si>
    <t xml:space="preserve">095 442 1563</t>
  </si>
  <si>
    <t xml:space="preserve">https://www.facebook.com/jood3joodPhuket/</t>
  </si>
  <si>
    <t xml:space="preserve">จุดสามจุด ภูเก็ต 
ที่อยู่ 29 ซอย ยินดีสนิท ตำบล รัษฎา อำเภอเมืองภูเก็ต ภูเก็ต 83000</t>
  </si>
  <si>
    <t xml:space="preserve">https://thailandtourismdirectory.go.th/th/restaurants/91488</t>
  </si>
  <si>
    <t xml:space="preserve">https://files.thailandtourismdirectory.go.th/assets/upload/2018/11/13/20181113c4ca4238a0b923820dcc509a6f75849b141533.jpg</t>
  </si>
  <si>
    <t xml:space="preserve">จ่วนเฮี้ยง พูนผล</t>
  </si>
  <si>
    <t xml:space="preserve">ติ่มซำ, อาหารเช้า, อาหารจีน</t>
  </si>
  <si>
    <t xml:space="preserve">18 ถนน พูนผล ตำบล ตลาดเหนือ อำเภอเมืองภูเก็ต ภูเก็ต 83000</t>
  </si>
  <si>
    <t xml:space="preserve">076210795 </t>
  </si>
  <si>
    <t xml:space="preserve">https://www.facebook.com/%E0%B8%88%E0%B9%88%E0%B8%A7%E0%B8%99%E0%B9%80%E0%B8%AE%E0%B8%B5%E0%B9%89%E0%B8%A2%E0%B8%87-%E0%B8%95%E0%B8%B4%E0%B9%88%E0%B8%A1%E0%B8%8B%E0%B8%B3-%E0%B8%A0%E0%B8%B9%E0%B9%80%E0%B8%81%E0%B9%87%E0%B8%95-315074805283077/</t>
  </si>
  <si>
    <t xml:space="preserve">Mon 06:00-11:00; Tu 06:00-11:00; Wed 06:00-11:00; Thu 06:00-11:00; Fri 06:00-11:00; Sat 06:00-11:00; Sun 06:00-11:00</t>
  </si>
  <si>
    <t xml:space="preserve">จ่วนเฮี้ยง พูนผล
ที่อยู่ 18 ถนน พูนผล ตำบล ตลาดเหนือ อำเภอเมืองภูเก็ต ภูเก็ต 83000</t>
  </si>
  <si>
    <t xml:space="preserve">https://thailandtourismdirectory.go.th/th/restaurants/90863</t>
  </si>
  <si>
    <t xml:space="preserve">https://files.thailandtourismdirectory.go.th/assets/upload/2018/11/02/20181102c4ca4238a0b923820dcc509a6f75849b144131.jpg</t>
  </si>
  <si>
    <t xml:space="preserve">ฉ่ำ Chum Bar &amp; Restaurants</t>
  </si>
  <si>
    <t xml:space="preserve">ซูชิ, กึ่งผับ/ร้านเหล้า/บาร์, ผับ/เที่ยวกลางคืน</t>
  </si>
  <si>
    <t xml:space="preserve">4020 ตำบล กะทู้ อำเภอ กะทู้ ภูเก็ต 83000</t>
  </si>
  <si>
    <t xml:space="preserve">091 825 8232</t>
  </si>
  <si>
    <t xml:space="preserve">https://www.facebook.com/CHUMPhuket/</t>
  </si>
  <si>
    <t xml:space="preserve">ฉ่ำ Chum Bar &amp; Restaurants 
ที่อยู่ 4020 ตำบล กะทู้ อำเภอ กะทู้ ภูเก็ต 83000</t>
  </si>
  <si>
    <t xml:space="preserve">https://thailandtourismdirectory.go.th/th/restaurants/91293</t>
  </si>
  <si>
    <t xml:space="preserve">https://files.thailandtourismdirectory.go.th/assets/upload/2018/11/08/20181108c4ca4238a0b923820dcc509a6f75849b145949.jpg</t>
  </si>
  <si>
    <t xml:space="preserve">ฉ๋ายเซียนฟง ติ่มซำ</t>
  </si>
  <si>
    <t xml:space="preserve">095 935 5636</t>
  </si>
  <si>
    <t xml:space="preserve">https://www.facebook.com/%E0%B8%89%E0%B9%8B%E0%B8%B2%E0%B8%A2%E0%B9%80%E0%B8%8B%E0%B8%B5%E0%B8%A2%E0%B8%99%E0%B8%9F%E0%B8%87-%E0%B8%95%E0%B8%B4%E0%B9%88%E0%B8%A1%E0%B8%8B%E0%B8%B3-233847560667177/</t>
  </si>
  <si>
    <t xml:space="preserve">Mon 06:00-14:00; Tu 06:00-14:00; Wed 06:00-14:00; Thu 06:00-14:00; Fri 06:00-14:00; Sat 06:00-14:00; Sun 06:00-14:00</t>
  </si>
  <si>
    <t xml:space="preserve">ฉ๋ายเซียนฟง ติ่มซำ
ที่อยู่ ถนน เจ้าฟ้าสวนหลวง ตำบล รัษฎา อำเภอเมืองภูเก็ต ภูเก็ต 83000</t>
  </si>
  <si>
    <t xml:space="preserve">https://thailandtourismdirectory.go.th/th/restaurants/91936</t>
  </si>
  <si>
    <t xml:space="preserve">https://files.thailandtourismdirectory.go.th/assets/upload/2018/11/15/20181115c4ca4238a0b923820dcc509a6f75849b110225.jpg</t>
  </si>
  <si>
    <t xml:space="preserve">ชมจันทร์ (Chomchan by Onechun)</t>
  </si>
  <si>
    <t xml:space="preserve">076 605 954</t>
  </si>
  <si>
    <t xml:space="preserve">https://www.facebook.com/ChomchanPhuket/</t>
  </si>
  <si>
    <t xml:space="preserve">ชมจันทร์ (Chomchan by Onechun) 
ที่อยู่ ถนนเยาวราช ตำบล ตลาดใหญ่ อำเภอเมืองภูเก็ต ภูเก็ต 83000</t>
  </si>
  <si>
    <t xml:space="preserve">https://thailandtourismdirectory.go.th/th/restaurants/90887</t>
  </si>
  <si>
    <t xml:space="preserve">https://files.thailandtourismdirectory.go.th/assets/upload/2018/11/05/20181105c4ca4238a0b923820dcc509a6f75849b110850.jpg</t>
  </si>
  <si>
    <t xml:space="preserve">ชา เทพ Cha-tap (ชา เทพ&amp;โรตี)</t>
  </si>
  <si>
    <t xml:space="preserve">ถนน ศรีสุนทร ตำบล เชิงทะเล อำเภอ ถลาง ภูเก็ต 83110</t>
  </si>
  <si>
    <t xml:space="preserve">089 015 6639</t>
  </si>
  <si>
    <t xml:space="preserve">https://www.facebook.com/%E0%B8%8A%E0%B8%B2-%E0%B9%80%E0%B8%97%E0%B8%9Echa_tap-457174274379726/</t>
  </si>
  <si>
    <t xml:space="preserve">Sun 19:30-23:59; Mon 19:30-23:59; Wed 00:00-01:00; Wed 19:30-23:59; Thu 00:00-01:00; Thu 19:30-23:59; Fri 00:00-01:00; Fri 19:30-23:59; Sat 00:00-01:00; Sat 19:30-23:59; Sun 00:00-01:00</t>
  </si>
  <si>
    <t xml:space="preserve">ชา เทพ Cha-tap (ชา เทพ&amp;โรตี)
ที่อยู่ ถนน ศรีสุนทร ตำบล เชิงทะเล อำเภอ ถลาง ภูเก็ต 83110</t>
  </si>
  <si>
    <t xml:space="preserve">https://thailandtourismdirectory.go.th/th/restaurants/91784</t>
  </si>
  <si>
    <t xml:space="preserve">https://files.thailandtourismdirectory.go.th/assets/upload/2018/11/14/20181114c4ca4238a0b923820dcc509a6f75849b142259.jpg</t>
  </si>
  <si>
    <t xml:space="preserve">ชาบู ชาบู นางใน</t>
  </si>
  <si>
    <t xml:space="preserve">4 ถนน รัษฎา ตำบล ตลาดเหนือ อำเภอเมืองภูเก็ต ภูเก็ต 83000</t>
  </si>
  <si>
    <t xml:space="preserve">094 593 3262</t>
  </si>
  <si>
    <t xml:space="preserve">https://www.facebook.com/%E0%B8%8A%E0%B8%B2%E0%B8%9A%E0%B8%B9-%E0%B8%8A%E0%B8%B2%E0%B8%9A%E0%B8%B9-%E0%B8%99%E0%B8%B2%E0%B8%87%E0%B9%83%E0%B8%99-%E0%B8%A0%E0%B8%B9%E0%B9%80%E0%B8%81%E0%B9%87%E0%B8%95-414368535408430/</t>
  </si>
  <si>
    <t xml:space="preserve">ชาบู ชาบู นางใน
ที่อยู่ 4 ถนน รัษฎา ตำบล ตลาดเหนือ อำเภอเมืองภูเก็ต ภูเก็ต 83000</t>
  </si>
  <si>
    <t xml:space="preserve">https://thailandtourismdirectory.go.th/th/restaurants/90925</t>
  </si>
  <si>
    <t xml:space="preserve">https://files.thailandtourismdirectory.go.th/assets/upload/2018/11/05/20181105c4ca4238a0b923820dcc509a6f75849b145738.jpg</t>
  </si>
  <si>
    <t xml:space="preserve">ชาบูที่รัก</t>
  </si>
  <si>
    <t xml:space="preserve">062 961 5995</t>
  </si>
  <si>
    <t xml:space="preserve">https://www.facebook.com/shabuteerak/</t>
  </si>
  <si>
    <t xml:space="preserve">ชาบูที่รัก
ที่อยู่ 367/22 ถนนเยาวราช ตำบล ตลาดใหญ่ อำเภอเมืองภูเก็ต ภูเก็ต 83000</t>
  </si>
  <si>
    <t xml:space="preserve">https://thailandtourismdirectory.go.th/th/restaurants/92081</t>
  </si>
  <si>
    <t xml:space="preserve">https://files.thailandtourismdirectory.go.th/assets/upload/2018/11/16/20181116c4ca4238a0b923820dcc509a6f75849b091606.jpg</t>
  </si>
  <si>
    <t xml:space="preserve">ชาบูอินดี้ ภูเก็ต</t>
  </si>
  <si>
    <t xml:space="preserve">17 ถนน รัษฎา ตำบล ตลาดเหนือ อำเภอเมืองภูเก็ต ภูเก็ต 83000</t>
  </si>
  <si>
    <t xml:space="preserve">080 432 1188</t>
  </si>
  <si>
    <t xml:space="preserve">https://www.facebook.com/Shabu-indy-Phuket-461607274231848/</t>
  </si>
  <si>
    <t xml:space="preserve">ชาบูอินดี้ ภูเก็ต
ที่อยู่ 17 ถนน รัษฎา ตำบล ตลาดเหนือ อำเภอเมืองภูเก็ต ภูเก็ต 83000</t>
  </si>
  <si>
    <t xml:space="preserve">https://thailandtourismdirectory.go.th/th/restaurants/91159</t>
  </si>
  <si>
    <t xml:space="preserve">https://files.thailandtourismdirectory.go.th/assets/upload/2018/11/07/20181107c4ca4238a0b923820dcc509a6f75849b112147.jpg</t>
  </si>
  <si>
    <t xml:space="preserve">ชายเลซีฟู้ด (Chay Lay Seafood)</t>
  </si>
  <si>
    <t xml:space="preserve">076-613-599</t>
  </si>
  <si>
    <t xml:space="preserve">https://www.facebook.com/%E0%B8%8A%E0%B8%B2%E0%B8%A2%E0%B9%80%E0%B8%A5%E0%B8%8B%E0%B8%B5%E0%B8%9F%E0%B8%B9%E0%B9%89%E0%B8%94-Chaylay-Seafood-243582689323322/</t>
  </si>
  <si>
    <t xml:space="preserve">ชายเลซีฟู้ด (Chay Lay Seafood) 
ที่อยู่ 1120 ถนน วิเศษ ตำบล ราไวย์ อำเภอเมืองภูเก็ต ภูเก็ต 83100</t>
  </si>
  <si>
    <t xml:space="preserve">https://thailandtourismdirectory.go.th/th/restaurants/91281</t>
  </si>
  <si>
    <t xml:space="preserve">https://files.thailandtourismdirectory.go.th/assets/upload/2018/11/08/20181108c4ca4238a0b923820dcc509a6f75849b141720.jpg</t>
  </si>
  <si>
    <t xml:space="preserve">ซาลาเปาอบ ภูเก็ต</t>
  </si>
  <si>
    <t xml:space="preserve">ของหวาน, อาหารไทย, เครื่องดื่ม/น้ำผลไม้/ชานมไข่มุก</t>
  </si>
  <si>
    <t xml:space="preserve">10 ซอย สุรินทร์ ตำบล ตลาดใหญ่ อำเภอเมืองภูเก็ต ภูเก็ต 83000</t>
  </si>
  <si>
    <t xml:space="preserve">088 659 1803</t>
  </si>
  <si>
    <t xml:space="preserve">https://www.facebook.com/phuketbuns/</t>
  </si>
  <si>
    <t xml:space="preserve">Mon 09:30-17:00; Tu 09:30-17:00; Wed 09:30-17:00; Thu 09:30-17:00; Fri 09:30-17:00; Sat 09:30-17:00; Sun 09:30-17:00</t>
  </si>
  <si>
    <t xml:space="preserve">ซาลาเปาอบ ภูเก็ต
ที่อยู่ 10 ซอย สุรินทร์ ตำบล ตลาดใหญ่ อำเภอเมืองภูเก็ต ภูเก็ต 83000</t>
  </si>
  <si>
    <t xml:space="preserve">https://thailandtourismdirectory.go.th/th/restaurants/91197</t>
  </si>
  <si>
    <t xml:space="preserve">https://files.thailandtourismdirectory.go.th/assets/upload/2018/11/07/20181107c4ca4238a0b923820dcc509a6f75849b145846.jpg</t>
  </si>
  <si>
    <t xml:space="preserve">ซิน ซิน บะหมี่เบตง</t>
  </si>
  <si>
    <t xml:space="preserve">087 278 0067</t>
  </si>
  <si>
    <t xml:space="preserve">https://www.facebook.com/xinxin.homemade.noodle/</t>
  </si>
  <si>
    <t xml:space="preserve">Mon 09:30-18:00; Tu 09:30-18:00; Wed 09:30-18:00; Thu 09:30-18:00; Fri 09:30-18:00; Sat 09:30-18:00; Sun 09:30-18:00</t>
  </si>
  <si>
    <t xml:space="preserve">ซิน ซิน บะหมี่เบตง
ที่อยู่ 51 ซอย หงษ์หยกอุทิศ ตำบล ตลาดใหญ่ อำเภอเมืองภูเก็ต ภูเก็ต 83000</t>
  </si>
  <si>
    <t xml:space="preserve">https://thailandtourismdirectory.go.th/th/restaurants/91289</t>
  </si>
  <si>
    <t xml:space="preserve">https://files.thailandtourismdirectory.go.th/assets/upload/2018/11/08/20181108c4ca4238a0b923820dcc509a6f75849b144943.jpg</t>
  </si>
  <si>
    <t xml:space="preserve">ซีเคร็ทคลิฟ (SECRET CLIFF)</t>
  </si>
  <si>
    <t xml:space="preserve">อาหารเช้า, อาหารอิตาเลียน</t>
  </si>
  <si>
    <t xml:space="preserve">ถนน วิเศษ ตำบล กะรน อำเภอเมืองภูเก็ต ภูเก็ต 83100</t>
  </si>
  <si>
    <t xml:space="preserve">076 530 321-3</t>
  </si>
  <si>
    <t xml:space="preserve">https://www.facebook.com/secretcliffphuket/</t>
  </si>
  <si>
    <t xml:space="preserve">ซีเคร็ทคลิฟ (SECRET CLIFF) 
ที่อยู่ ถนน วิเศษ ตำบล กะรน อำเภอเมืองภูเก็ต ภูเก็ต 83100</t>
  </si>
  <si>
    <t xml:space="preserve">https://thailandtourismdirectory.go.th/th/restaurants/92104</t>
  </si>
  <si>
    <t xml:space="preserve">https://files.thailandtourismdirectory.go.th/assets/upload/2018/11/16/20181116c4ca4238a0b923820dcc509a6f75849b135539.jpg</t>
  </si>
  <si>
    <t xml:space="preserve">ซุปเปอร์ติ่มซำ 3</t>
  </si>
  <si>
    <t xml:space="preserve">อาหารเช้า, อาหารจีน</t>
  </si>
  <si>
    <t xml:space="preserve">4026 ตำบล สาคู อำเภอ ถลาง ภูเก็ต 83110</t>
  </si>
  <si>
    <t xml:space="preserve">081 326 3788</t>
  </si>
  <si>
    <t xml:space="preserve">https://www.facebook.com/%E0%B8%8B%E0%B8%B8%E0%B8%9B%E0%B9%80%E0%B8%9B%E0%B8%AD%E0%B8%A3%E0%B9%8C%E0%B8%95%E0%B8%B4%E0%B9%88%E0%B8%A1%E0%B8%8B%E0%B8%B3%E0%B8%AA%E0%B8%99%E0%B8%B2%E0%B8%A1%E0%B8%9A%E0%B8%B4%E0%B8%99%E0%B8%A0%E0%B8%B9%E0%B9%80%E0%B8%81%E0%B9%87%E0%B8%95-643036912495948/</t>
  </si>
  <si>
    <t xml:space="preserve">Mon 05:30-11:30; Tu 05:30-11:30; Wed 05:30-11:30; Thu 05:30-11:30; Fri 05:30-11:30; Sat 05:30-11:30; Sun 05:30-11:30</t>
  </si>
  <si>
    <t xml:space="preserve">ซุปเปอร์ติ่มซำ 3 
ที่อยู่ 4026 ตำบล สาคู อำเภอ ถลาง ภูเก็ต 83110</t>
  </si>
  <si>
    <t xml:space="preserve">https://thailandtourismdirectory.go.th/th/restaurants/91295</t>
  </si>
  <si>
    <t xml:space="preserve">https://files.thailandtourismdirectory.go.th/assets/upload/2018/11/08/20181108c4ca4238a0b923820dcc509a6f75849b150454.jpg</t>
  </si>
  <si>
    <t xml:space="preserve">ซุปเปอร์ติ่มซำภูเก็ต</t>
  </si>
  <si>
    <t xml:space="preserve">20 ถนน หลวงพ่อ ตำบล ตลาดใหญ่ อำเภอเมืองภูเก็ต ภูเก็ต 83000</t>
  </si>
  <si>
    <t xml:space="preserve">095 924 5191</t>
  </si>
  <si>
    <t xml:space="preserve">https://www.facebook.com/superdimsumphuket/</t>
  </si>
  <si>
    <t xml:space="preserve">Mon 06:00-12:00; Tu 06:00-12:00; Wed 06:00-12:00; Thu 06:00-12:00; Fri 06:00-12:00; Sat 06:00-12:00; Sun 06:00-12:00</t>
  </si>
  <si>
    <t xml:space="preserve">ซุปเปอร์ติ่มซำภูเก็ต 
ที่อยู่ 20 ถนน หลวงพ่อ ตำบล ตลาดใหญ่ อำเภอเมืองภูเก็ต ภูเก็ต 83000</t>
  </si>
  <si>
    <t xml:space="preserve">https://thailandtourismdirectory.go.th/th/restaurants/90832</t>
  </si>
  <si>
    <t xml:space="preserve">https://files.thailandtourismdirectory.go.th/assets/upload/2018/11/01/20181101c4ca4238a0b923820dcc509a6f75849b161514.jpg</t>
  </si>
  <si>
    <t xml:space="preserve">ซุปเปอร์อินดี้ (ซุปเปอร์อินดี้ สามกอง)</t>
  </si>
  <si>
    <t xml:space="preserve">087 186 4780</t>
  </si>
  <si>
    <t xml:space="preserve">https://www.facebook.com/Supperindysamkong/</t>
  </si>
  <si>
    <t xml:space="preserve">Mon 12:00-21:30; Tu 12:00-21:30; Wed 12:00-21:30; Thu 12:00-21:30; Fri 12:00-21:30; Sat 12:00-21:30; Sun 12:00-21:30</t>
  </si>
  <si>
    <t xml:space="preserve">ซุปเปอร์อินดี้ (ซุปเปอร์อินดี้ สามกอง) 
ที่อยู่ 260/45 ถนนเยาวราช ตำบล ตลาดใหญ่ อำเภอเมืองภูเก็ต ภูเก็ต 83000</t>
  </si>
  <si>
    <t xml:space="preserve">https://thailandtourismdirectory.go.th/th/restaurants/91739</t>
  </si>
  <si>
    <t xml:space="preserve">https://files.thailandtourismdirectory.go.th/assets/upload/2018/11/14/20181114c4ca4238a0b923820dcc509a6f75849b091755.jpg</t>
  </si>
  <si>
    <t xml:space="preserve">ซู่ซรินขนมหวาน</t>
  </si>
  <si>
    <t xml:space="preserve">157 ถนน กระบี่ ตำบล ตลาดเหนือ อำเภอเมืองภูเก็ต ภูเก็ต 83000</t>
  </si>
  <si>
    <t xml:space="preserve">088 563 5547</t>
  </si>
  <si>
    <t xml:space="preserve">https://www.facebook.com/Soyabeancurd/</t>
  </si>
  <si>
    <t xml:space="preserve">Mon 18:00-23:00; Tu 18:00-23:00; Wed 18:00-23:00; Thu 18:00-23:00; Fri 18:00-23:00; Sat 18:00-23:00</t>
  </si>
  <si>
    <t xml:space="preserve">ซู่ซรินขนมหวาน
ที่อยู่ 157 ถนน กระบี่ ตำบล ตลาดเหนือ อำเภอเมืองภูเก็ต ภูเก็ต 83000</t>
  </si>
  <si>
    <t xml:space="preserve">https://thailandtourismdirectory.go.th/th/restaurants/91749</t>
  </si>
  <si>
    <t xml:space="preserve">https://files.thailandtourismdirectory.go.th/assets/upload/2018/11/14/20181114c4ca4238a0b923820dcc509a6f75849b101809.jpg</t>
  </si>
  <si>
    <t xml:space="preserve">ต.ตำ (Tortum)</t>
  </si>
  <si>
    <t xml:space="preserve">อาหารอีสาน/ร้านส้มตำ</t>
  </si>
  <si>
    <t xml:space="preserve">091 038 0251</t>
  </si>
  <si>
    <t xml:space="preserve">https://www.facebook.com/tortumphuket/</t>
  </si>
  <si>
    <t xml:space="preserve">ต.ตำ (Tortum) 
ที่อยู่ 4021 ตำบล ฉลอง อำเภอเมืองภูเก็ต ภูเก็ต 83000</t>
  </si>
  <si>
    <t xml:space="preserve">https://thailandtourismdirectory.go.th/th/restaurants/91416</t>
  </si>
  <si>
    <t xml:space="preserve">https://files.thailandtourismdirectory.go.th/assets/upload/2018/11/12/20181112c4ca4238a0b923820dcc509a6f75849b110354.jpg</t>
  </si>
  <si>
    <t xml:space="preserve">ตรอกน้ำลายไหล</t>
  </si>
  <si>
    <t xml:space="preserve">ก๋วยเตี๋ยว, อาหารเช้า, อาหารจีน, อาหารใต้, อาหารจานเดียว/ตามสั่ง, สตรีทฟู้ด/รถเข็น</t>
  </si>
  <si>
    <t xml:space="preserve">ตรอกสุ่นอุทิศ</t>
  </si>
  <si>
    <t xml:space="preserve">หมี่หุ้นกระดูกหมูเริ่มขายตอน 13.00 น ของทุกวัน</t>
  </si>
  <si>
    <t xml:space="preserve">ของอร่อยมักไปแอบอยู่ในตรอกไหนสักแห่งวันนี้จะพาไปตะลุย “ตรอกน้ำลายไหล” ตรอกดังในตำนานที่คุณไปแล้วต้องน้ำลายไหล
“ตรอกน้ำลายไหล” หรือตามชื่อภาษาจีนที่เรียกว่า “ตรอกหลาวนั่ว”(หลาวนั่วแปลว่าน้ำลายไหล) เป็นชื่อเก่าแก่ของ “ตรอกสุ่นอุทิศ” มีที่มาจากชื่อของแป๊ะหลาวนั่วผู้อุทิศที่ดินบุกเบิกตรอกนี้ในสมัยเจ้าพระยารัษฎานุประดิฐฯ
"ตรอกน้ำลายไหล" หรือ "ตรอกหลาวนั่ว"ในความทรงจำของคนภูเก็ตคือตรอกที่เต็มไปด้วยของกินแสนอร่อยคู่กับ “วิกหนัง” (โรงภาพยนตร์)แหล่งบันเทิงสุดอินเทรนด์ครั้งอดีตของคนภูเก็ต ตั่งแต่ยุค วิกหนังเริงจิต วิกหนังเฉลิมตันจนปิดฉากวิกหนังภูเก็ตในยุควิกหนังสยาม
ปัจจุบันตรอกนี้ก็ยังคงเต็มไปด้วยของอร่อยในแบบสตรีสฟู๊ดที่ทำให้คุณต้องน้ำลายไหลทั้ง “อาโป้งแม่สุนี” ขนมคล้ายท้องม้วนรสชาติหอมหวานเกินราคาเพราะขายเพียงชิ้นละ 3 บาท “โอ๊ะเอ๋วแป๊ะหลีเจ้าเก่า” น้ำแข็งใสสไตล์ภูเก็ตใส่วุ้นโอ๊ะเอ๋วสูตรเฉพาะผสมถั่วแดงและวุ้นดำเป็นของหวานเด็ดดับร้อนใน ราคา 15 บาท “หมี่หุ้นกระดูกหมูอี๋เป๋ง” หมี่หุ้นผัดซีอิ้วหอมกระเทียมเจียวทานคู่กับซุปกระดูกหมูต้มชานอ้อนหวานธรรมชาติอาหารจานเด็ดราคา 50 บาทที่ต้องมาลอง และถ้าเดินไปสุดตรอกคุณจะพบกับคฤหาส์นหลังงามที่ชวนให้คุณมองไปกินไปบอกได้เลยว่าฟินสุดๆ เที่ยงนี้ถ้ายังไม่รู้จะทานอะไรตรอกน้ำลายไหลอาจเป็นคำตอบของคุณ</t>
  </si>
  <si>
    <t xml:space="preserve">https://thailandtourismdirectory.go.th/th/restaurants/85578</t>
  </si>
  <si>
    <t xml:space="preserve">https://files.thailandtourismdirectory.go.th/assets/upload/2018/09/30/2018093001f4118629a6b50dc9e11dd6e76e68cc153334.JPG</t>
  </si>
  <si>
    <t xml:space="preserve">ตัวจะแตก ซีฟู้ด</t>
  </si>
  <si>
    <t xml:space="preserve">ชาบู/สุกี้ยากี้/หม้อไฟ, อาหารทะเล</t>
  </si>
  <si>
    <t xml:space="preserve">75 ถนน รัษฎา ตำบล ตลาดใหญ่ อำเภอเมืองภูเก็ต ภูเก็ต 83000</t>
  </si>
  <si>
    <t xml:space="preserve">088 753 4579</t>
  </si>
  <si>
    <t xml:space="preserve">https://www.facebook.com/Tuajatak/</t>
  </si>
  <si>
    <t xml:space="preserve">Mon 16:00-22:00; Tu 16:00-22:00; Thu 16:00-22:00; Fri 16:00-22:00; Sat 14:00-22:00; Sun 14:00-22:00</t>
  </si>
  <si>
    <t xml:space="preserve">ตัวจะแตก ซีฟู้ด
ที่อยู่ 75 ถนน รัษฎา ตำบล ตลาดใหญ่ อำเภอเมืองภูเก็ต ภูเก็ต 83000</t>
  </si>
  <si>
    <t xml:space="preserve">https://thailandtourismdirectory.go.th/th/restaurants/90896</t>
  </si>
  <si>
    <t xml:space="preserve">https://files.thailandtourismdirectory.go.th/assets/upload/2018/11/05/20181105c4ca4238a0b923820dcc509a6f75849b123931.jpg</t>
  </si>
  <si>
    <t xml:space="preserve">ตาโต ก๋วยเตี๋ยวต้มยำน้ำข้น</t>
  </si>
  <si>
    <t xml:space="preserve">081 358 9639</t>
  </si>
  <si>
    <t xml:space="preserve">https://www.facebook.com/%E0%B8%A3%E0%B9%89%E0%B8%B2%E0%B8%99%E0%B8%95%E0%B8%B2%E0%B9%82%E0%B8%95-%E0%B8%81%E0%B9%8B%E0%B8%A7%E0%B8%A2%E0%B9%80%E0%B8%95%E0%B8%B5%E0%B9%8B%E0%B8%A2%E0%B8%A7%E0%B8%95%E0%B9%89%E0%B8%A1%E0%B8%A2%E0%B8%B3%E0%B8%99%E0%B9%89%E0%B8%B3%E0%B8%82%E0%B9%89%E0%B8%99-%E0%B8%AA%E0%B8%B2%E0%B8%82%E0%B8%B2%E0%B8%A0%E0%B8%B9%E0%B9%80%E0%B8%81%E0%B9%87%E0%B8%95-381893552144522/</t>
  </si>
  <si>
    <t xml:space="preserve">ตาโต ก๋วยเตี๋ยวต้มยำน้ำข้น 
ที่อยู่ ถนน กระ ตำบล ตลาดใหญ่ อำเภอเมืองภูเก็ต ภูเก็ต 83000</t>
  </si>
  <si>
    <t xml:space="preserve">https://thailandtourismdirectory.go.th/th/restaurants/91338</t>
  </si>
  <si>
    <t xml:space="preserve">https://files.thailandtourismdirectory.go.th/assets/upload/2018/11/09/20181109c4ca4238a0b923820dcc509a6f75849b105015.jpg</t>
  </si>
  <si>
    <t xml:space="preserve">ตำย่าง (TumYang)</t>
  </si>
  <si>
    <t xml:space="preserve">อาหารอีสาน/ร้านส้มตำ, อาหารฟิวชั่น</t>
  </si>
  <si>
    <t xml:space="preserve">062 652 5156</t>
  </si>
  <si>
    <t xml:space="preserve">https://www.facebook.com/tumyangphuket/</t>
  </si>
  <si>
    <t xml:space="preserve">ตำย่าง (TumYang) 
ที่อยู่ ถนน ทุ่งคา ตำบล ตลาดใหญ่ อำเภอเมืองภูเก็ต ภูเก็ต 83000</t>
  </si>
  <si>
    <t xml:space="preserve">https://thailandtourismdirectory.go.th/th/restaurants/91414</t>
  </si>
  <si>
    <t xml:space="preserve">https://files.thailandtourismdirectory.go.th/assets/upload/2018/11/12/20181112c4ca4238a0b923820dcc509a6f75849b104528.jpg</t>
  </si>
  <si>
    <t xml:space="preserve">ตำสุดแซ่บ นาคา</t>
  </si>
  <si>
    <t xml:space="preserve">20 พัฒนา ซอย 10 ตำบล ตลาดเหนือ อำเภอเมืองภูเก็ต ภูเก็ต 83000</t>
  </si>
  <si>
    <t xml:space="preserve">088 663 3399</t>
  </si>
  <si>
    <t xml:space="preserve">https://www.facebook.com/tumsudsabb/</t>
  </si>
  <si>
    <t xml:space="preserve">ตำสุดแซ่บ นาคา 
ที่อยู่ 20 พัฒนา ซอย 10 ตำบล ตลาดเหนือ อำเภอเมืองภูเก็ต ภูเก็ต 83000</t>
  </si>
  <si>
    <t xml:space="preserve">https://thailandtourismdirectory.go.th/th/restaurants/91977</t>
  </si>
  <si>
    <t xml:space="preserve">https://files.thailandtourismdirectory.go.th/assets/upload/2018/11/15/20181115c4ca4238a0b923820dcc509a6f75849b143017.jpg</t>
  </si>
  <si>
    <t xml:space="preserve">ตำหรอย by ครัวแม่ดา</t>
  </si>
  <si>
    <t xml:space="preserve">061 461 3955</t>
  </si>
  <si>
    <t xml:space="preserve">https://www.facebook.com/tamroiphuket/</t>
  </si>
  <si>
    <t xml:space="preserve">ตำหรอย by ครัวแม่ดา
ที่อยู่ ถนนเจ้าฟ้า ตำบล ฉลอง อำเภอเมืองภูเก็ต ภูเก็ต 83000</t>
  </si>
  <si>
    <t xml:space="preserve">https://thailandtourismdirectory.go.th/th/restaurants/90839</t>
  </si>
  <si>
    <t xml:space="preserve">https://files.thailandtourismdirectory.go.th/assets/upload/2018/11/02/20181102c4ca4238a0b923820dcc509a6f75849b094334.jpg</t>
  </si>
  <si>
    <t xml:space="preserve">ตำเว้ยเฮ้ย</t>
  </si>
  <si>
    <t xml:space="preserve">อาหารอีสาน/ร้านส้มตำ, อาหารไทย, อาหารจานเดียว/ตามสั่ง</t>
  </si>
  <si>
    <t xml:space="preserve">081 891 6741</t>
  </si>
  <si>
    <t xml:space="preserve">https://www.facebook.com/Tumweiiheii.Phuket/</t>
  </si>
  <si>
    <t xml:space="preserve">Mon 11:00-22:00; Wed 11:00-22:00; Thu 11:00-22:00; Fri 11:00-22:00; Sat 11:00-22:00; Sun 11:00-22:00</t>
  </si>
  <si>
    <t xml:space="preserve">ตำเว้ยเฮ้ย 
ที่อยู่ 29 ซอย ยินดีสนิท ตำบล รัษฎา อำเภอเมืองภูเก็ต ภูเก็ต 83000</t>
  </si>
  <si>
    <t xml:space="preserve">https://thailandtourismdirectory.go.th/th/restaurants/91466</t>
  </si>
  <si>
    <t xml:space="preserve">https://files.thailandtourismdirectory.go.th/assets/upload/2018/11/13/20181113c4ca4238a0b923820dcc509a6f75849b115430.jpg</t>
  </si>
  <si>
    <t xml:space="preserve">ตู้กับข้าว (Tu Kab Khao Restaurant Phuket)</t>
  </si>
  <si>
    <t xml:space="preserve">076 608 888</t>
  </si>
  <si>
    <t xml:space="preserve">https://www.facebook.com/tukabkhao/</t>
  </si>
  <si>
    <t xml:space="preserve">ตู้กับข้าว (Tu Kab Khao Restaurant Phuket) 
ที่อยู่ 72/1 ถนนเยาวราช ตำบล ตลาดใหญ่ อำเภอเมืองภูเก็ต ภูเก็ต 83000</t>
  </si>
  <si>
    <t xml:space="preserve">https://thailandtourismdirectory.go.th/th/restaurants/90803</t>
  </si>
  <si>
    <t xml:space="preserve">https://files.thailandtourismdirectory.go.th/assets/upload/2018/11/01/20181101c4ca4238a0b923820dcc509a6f75849b133038.jpg</t>
  </si>
  <si>
    <t xml:space="preserve">ต้ม ยำ ตำ ย่าง</t>
  </si>
  <si>
    <t xml:space="preserve">081 326 1751</t>
  </si>
  <si>
    <t xml:space="preserve">https://www.facebook.com/TOMYUMTUMYANG/</t>
  </si>
  <si>
    <t xml:space="preserve">Mon 16:30-22:00; Tu 16:30-22:00; Wed 16:30-22:00; Thu 16:30-22:00; Fri 16:30-22:00; Sat 16:30-22:00; Sun 16:30-22:00</t>
  </si>
  <si>
    <t xml:space="preserve">ต้ม ยำ ตำ ย่าง 
ที่อยู่ ถนน วิรัชหงษ์หยก ตำบล ตลาดเหนือ อำเภอเมืองภูเก็ต ภูเก็ต 83000</t>
  </si>
  <si>
    <t xml:space="preserve">https://thailandtourismdirectory.go.th/th/restaurants/91758</t>
  </si>
  <si>
    <t xml:space="preserve">https://files.thailandtourismdirectory.go.th/assets/upload/2018/11/14/20181114c4ca4238a0b923820dcc509a6f75849b104723.jpg</t>
  </si>
  <si>
    <t xml:space="preserve">ถลางกุ้งกระทะบุฟเฟ่ต์ (THALANG BARBEQUE BUFFET)</t>
  </si>
  <si>
    <t xml:space="preserve">บุฟเฟ่ต์</t>
  </si>
  <si>
    <t xml:space="preserve">081 788 0196</t>
  </si>
  <si>
    <t xml:space="preserve">https://www.facebook.com/ThalangHotPot/</t>
  </si>
  <si>
    <t xml:space="preserve">ถลางกุ้งกระทะบุฟเฟ่ต์ (THALANG BARBEQUE BUFFET) 
ที่อยู่ 4030 ตำบล เทพกระษัตรี อำเภอ ถลาง ภูเก็ต 83110</t>
  </si>
  <si>
    <t xml:space="preserve">https://thailandtourismdirectory.go.th/th/restaurants/91471</t>
  </si>
  <si>
    <t xml:space="preserve">https://files.thailandtourismdirectory.go.th/assets/upload/2018/11/13/20181113c4ca4238a0b923820dcc509a6f75849b133936.jpg</t>
  </si>
  <si>
    <t xml:space="preserve">ที-วิลล่า</t>
  </si>
  <si>
    <t xml:space="preserve">ซอย ในยาง 1 ตำบล สาคู อำเภอ ถลาง ภูเก็ต 83110</t>
  </si>
  <si>
    <t xml:space="preserve">076 372 700</t>
  </si>
  <si>
    <t xml:space="preserve">https://www.facebook.com/tvillaresort/</t>
  </si>
  <si>
    <t xml:space="preserve">ที-วิลล่า 
ที่อยู่ ซอย ในยาง 1 ตำบล สาคู อำเภอ ถลาง ภูเก็ต 83110</t>
  </si>
  <si>
    <t xml:space="preserve">https://thailandtourismdirectory.go.th/th/restaurants/91943</t>
  </si>
  <si>
    <t xml:space="preserve">https://files.thailandtourismdirectory.go.th/assets/upload/2018/11/15/20181115c4ca4238a0b923820dcc509a6f75849b112728.jpg</t>
  </si>
  <si>
    <t xml:space="preserve">ทุ่งคา กาแฟ (Tunk Ka Cafe)</t>
  </si>
  <si>
    <t xml:space="preserve">080 821 1500</t>
  </si>
  <si>
    <t xml:space="preserve">https://www.facebook.com/tunkkacafephuket0808211500/</t>
  </si>
  <si>
    <t xml:space="preserve">ทุ่งคา กาแฟ (Tunk Ka Cafe) 
ที่อยู่ ซอย วชิระ ตำบล รัษฎา อำเภอเมืองภูเก็ต ภูเก็ต 83000</t>
  </si>
  <si>
    <t xml:space="preserve">https://thailandtourismdirectory.go.th/th/restaurants/90805</t>
  </si>
  <si>
    <t xml:space="preserve">https://files.thailandtourismdirectory.go.th/assets/upload/2018/11/01/20181101729ce10906c71e70e675ca3a642fa1cc134414.png</t>
  </si>
  <si>
    <t xml:space="preserve">นมหมี</t>
  </si>
  <si>
    <t xml:space="preserve">080 889 5908</t>
  </si>
  <si>
    <t xml:space="preserve">https://www.facebook.com/%E0%B8%99%E0%B8%A1%E0%B8%AB%E0%B8%A1%E0%B8%B5-bear-milk-220315782070817/</t>
  </si>
  <si>
    <t xml:space="preserve">นมหมี 
ที่อยู่ 260/45 ถนนเยาวราช ตำบล ตลาดใหญ่ อำเภอเมืองภูเก็ต ภูเก็ต 83000</t>
  </si>
  <si>
    <t xml:space="preserve">https://thailandtourismdirectory.go.th/th/restaurants/91982</t>
  </si>
  <si>
    <t xml:space="preserve">https://files.thailandtourismdirectory.go.th/assets/upload/2018/11/15/20181115c4ca4238a0b923820dcc509a6f75849b144651.jpg</t>
  </si>
  <si>
    <t xml:space="preserve">นาซิ อยัม</t>
  </si>
  <si>
    <t xml:space="preserve">อาหารเช้า, อาหารมุสลิม/อิสลาม</t>
  </si>
  <si>
    <t xml:space="preserve">089 289 7222</t>
  </si>
  <si>
    <t xml:space="preserve">https://www.facebook.com/%E0%B8%A3%E0%B9%89%E0%B8%B2%E0%B8%99%E0%B8%AD%E0%B8%B2%E0%B8%AB%E0%B8%B2%E0%B8%A3-%E0%B8%99%E0%B8%B2%E0%B8%8B%E0%B8%B4-%E0%B8%AD%E0%B8%A2%E0%B8%B1%E0%B8%A1-1886911828213030/</t>
  </si>
  <si>
    <t xml:space="preserve">Mon 07:00-15:00; Tu 07:00-15:00; Wed 07:00-15:00; Thu 07:00-15:00; Fri 07:00-15:00; Sat 07:00-15:00; Sun 07:00-15:00</t>
  </si>
  <si>
    <t xml:space="preserve">นาซิ อยัม 
ที่อยู่ 20 พัฒนา ซอย 10 ตำบล ตลาดเหนือ อำเภอเมืองภูเก็ต ภูเก็ต 83000</t>
  </si>
  <si>
    <t xml:space="preserve">https://thailandtourismdirectory.go.th/th/restaurants/91756</t>
  </si>
  <si>
    <t xml:space="preserve">https://files.thailandtourismdirectory.go.th/assets/upload/2018/11/14/20181114c4ca4238a0b923820dcc509a6f75849b104315.jpg</t>
  </si>
  <si>
    <t xml:space="preserve">นายยกหมูกระทะ (NAI YOK BARBEQUE)</t>
  </si>
  <si>
    <t xml:space="preserve">หมูกระทะ</t>
  </si>
  <si>
    <t xml:space="preserve">ซอย ศรีสุชาติ 11 ตำบล รัษฎา อำเภอเมืองภูเก็ต ภูเก็ต 83000</t>
  </si>
  <si>
    <t xml:space="preserve">083 181 5923</t>
  </si>
  <si>
    <t xml:space="preserve">https://www.facebook.com/%E0%B8%99%E0%B8%B2%E0%B8%A2%E0%B8%A2%E0%B8%81%E0%B8%AB%E0%B8%A1%E0%B8%B9%E0%B8%81%E0%B8%A3%E0%B8%B0%E0%B8%97%E0%B8%B0%E0%B8%8B%E0%B8%B5%E0%B8%9F%E0%B8%B9%E0%B9%89%E0%B8%94-%E0%B8%A0%E0%B8%B9%E0%B9%80%E0%B8%81%E0%B9%87%E0%B8%95-165127764076488/</t>
  </si>
  <si>
    <t xml:space="preserve">นายยกหมูกระทะ (NAI YOK BARBEQUE) 
ที่อยู่ ซอย ศรีสุชาติ 11 ตำบล รัษฎา อำเภอเมืองภูเก็ต ภูเก็ต 83000</t>
  </si>
  <si>
    <t xml:space="preserve">https://thailandtourismdirectory.go.th/th/restaurants/91764</t>
  </si>
  <si>
    <t xml:space="preserve">https://files.thailandtourismdirectory.go.th/assets/upload/2018/11/14/20181114c4ca4238a0b923820dcc509a6f75849b110834.jpg</t>
  </si>
  <si>
    <t xml:space="preserve">นายยาว</t>
  </si>
  <si>
    <t xml:space="preserve">076 215 915</t>
  </si>
  <si>
    <t xml:space="preserve">https://www.facebook.com/naiyaorestaurant/</t>
  </si>
  <si>
    <t xml:space="preserve">Mon 18:30-23:59; Tu 18:30-23:59; Wed 18:30-23:59; Thu 18:30-23:59; Fri 18:30-23:59; Sat 18:30-23:59; Sun 18:30-23:59</t>
  </si>
  <si>
    <t xml:space="preserve">นายยาว 
ที่อยู่ ซอย คณิต หงษ์หยก ตำบล ตลาดใหญ่ อำเภอเมืองภูเก็ต ภูเก็ต 83000</t>
  </si>
  <si>
    <t xml:space="preserve">https://thailandtourismdirectory.go.th/th/restaurants/91418</t>
  </si>
  <si>
    <t xml:space="preserve">https://files.thailandtourismdirectory.go.th/assets/upload/2018/11/12/20181112c4ca4238a0b923820dcc509a6f75849b113133.jpg</t>
  </si>
  <si>
    <t xml:space="preserve">นิกิต้า (NIKITA'S)</t>
  </si>
  <si>
    <t xml:space="preserve">095 827 5608</t>
  </si>
  <si>
    <t xml:space="preserve">https://www.facebook.com/nikita.thailand/</t>
  </si>
  <si>
    <t xml:space="preserve">นิกิต้า (NIKITA'S)
ที่อยู่ 431 4233 ตำบล ราไวย์ อำเภอเมืองภูเก็ต ภูเก็ต 83100</t>
  </si>
  <si>
    <t xml:space="preserve">https://thailandtourismdirectory.go.th/th/restaurants/91772</t>
  </si>
  <si>
    <t xml:space="preserve">https://files.thailandtourismdirectory.go.th/assets/upload/2018/11/14/20181114c4ca4238a0b923820dcc509a6f75849b132911.jpg</t>
  </si>
  <si>
    <t xml:space="preserve">นิยม168-หม่าล่าภูเก็ต</t>
  </si>
  <si>
    <t xml:space="preserve">ชาบู/สุกี้ยากี้/หม้อไฟ, อาหารจีน</t>
  </si>
  <si>
    <t xml:space="preserve">062 379 7817</t>
  </si>
  <si>
    <t xml:space="preserve">https://www.facebook.com/Niyom168Phuket/</t>
  </si>
  <si>
    <t xml:space="preserve">นิยม168-หม่าล่าภูเก็ต 
ที่อยู่ ถนนวิชิตสงคราม ตำบล กะทู้ อำเภอ กะทู้ ภูเก็ต 83120</t>
  </si>
  <si>
    <t xml:space="preserve">https://thailandtourismdirectory.go.th/th/restaurants/91381</t>
  </si>
  <si>
    <t xml:space="preserve">https://files.thailandtourismdirectory.go.th/assets/upload/2018/11/09/20181109c4ca4238a0b923820dcc509a6f75849b150035.jpg</t>
  </si>
  <si>
    <t xml:space="preserve">น้องเจภูเก็ต (Vegetarian Restaurant Nong J)</t>
  </si>
  <si>
    <t xml:space="preserve">107 ถนน ปฏิพัทธิ์ ตำบล ตลาดเหนือ อำเภอเมืองภูเก็ต ภูเก็ต 83000</t>
  </si>
  <si>
    <t xml:space="preserve">085 885 7223</t>
  </si>
  <si>
    <t xml:space="preserve">https://www.facebook.com/NongJvegetarianfoods/</t>
  </si>
  <si>
    <t xml:space="preserve">Mon 09:00-21:00; Tu 09:00-21:00; Wed 09:00-21:00; Thu 09:00-21:00; Fri 09:00-21:00; Sat 09:00-21:00</t>
  </si>
  <si>
    <t xml:space="preserve">น้องเจภูเก็ต (Vegetarian Restaurant Nong J) 
ที่อยู่ 107 ถนน ปฏิพัทธิ์ ตำบล ตลาดเหนือ อำเภอเมืองภูเก็ต ภูเก็ต 83000</t>
  </si>
  <si>
    <t xml:space="preserve">https://thailandtourismdirectory.go.th/th/restaurants/91476</t>
  </si>
  <si>
    <t xml:space="preserve">https://files.thailandtourismdirectory.go.th/assets/upload/2018/11/13/20181113c4ca4238a0b923820dcc509a6f75849b140404.jpg</t>
  </si>
  <si>
    <t xml:space="preserve">น้ำชาโต๊ะไม้</t>
  </si>
  <si>
    <t xml:space="preserve">089 472 3817</t>
  </si>
  <si>
    <t xml:space="preserve">https://www.facebook.com/%E0%B8%A3%E0%B9%89%E0%B8%B2%E0%B8%99%E0%B8%99%E0%B9%89%E0%B8%B3%E0%B8%8A%E0%B8%B2%E0%B9%82%E0%B8%95%E0%B9%8A%E0%B8%B0%E0%B9%84%E0%B8%A1%E0%B9%89-229509620531727/</t>
  </si>
  <si>
    <t xml:space="preserve">น้ำชาโต๊ะไม้ 
ที่อยู่ 4020 ตำบล กะทู้ อำเภอ กะทู้ ภูเก็ต 83120</t>
  </si>
  <si>
    <t xml:space="preserve">https://thailandtourismdirectory.go.th/th/restaurants/91765</t>
  </si>
  <si>
    <t xml:space="preserve">https://files.thailandtourismdirectory.go.th/assets/upload/2018/11/14/20181114c4ca4238a0b923820dcc509a6f75849b113633.jpg</t>
  </si>
  <si>
    <t xml:space="preserve">น้ำเต้าหู้เยาวราช</t>
  </si>
  <si>
    <t xml:space="preserve">089 729 3633</t>
  </si>
  <si>
    <t xml:space="preserve">https://www.facebook.com/yaowaratsoymilk/</t>
  </si>
  <si>
    <t xml:space="preserve">น้ำเต้าหู้เยาวราช
ที่อยู่ ถนนเยาวราช ตำบล ตลาดใหญ่ อำเภอเมืองภูเก็ต ภูเก็ต 83000</t>
  </si>
  <si>
    <t xml:space="preserve">https://thailandtourismdirectory.go.th/th/restaurants/90872</t>
  </si>
  <si>
    <t xml:space="preserve">https://files.thailandtourismdirectory.go.th/assets/upload/2018/11/02/20181102c4ca4238a0b923820dcc509a6f75849b152945.jpg</t>
  </si>
  <si>
    <t xml:space="preserve">บะหมี่เกี๊ยวยากูซ่า กู้กู</t>
  </si>
  <si>
    <t xml:space="preserve">ถนน รัษฎานุสรณ์ ตำบล รัษฎา อำเภอเมืองภูเก็ต ภูเก็ต 83000</t>
  </si>
  <si>
    <t xml:space="preserve">081 677 1164</t>
  </si>
  <si>
    <t xml:space="preserve">https://www.facebook.com/Yakuza.Noodle/</t>
  </si>
  <si>
    <t xml:space="preserve">Mon 18:00-22:00; Tu 18:00-22:00; Wed 18:00-22:00; Thu 18:00-22:00; Fri 18:00-22:00; Sat 18:00-22:00; Sun 18:00-22:00</t>
  </si>
  <si>
    <t xml:space="preserve">บะหมี่เกี๊ยวยากูซ่า กู้กู 
ที่อยู่ ถนน รัษฎานุสรณ์ ตำบล รัษฎา อำเภอเมืองภูเก็ต ภูเก็ต 83000</t>
  </si>
  <si>
    <t xml:space="preserve">https://thailandtourismdirectory.go.th/th/restaurants/92088</t>
  </si>
  <si>
    <t xml:space="preserve">https://files.thailandtourismdirectory.go.th/assets/upload/2018/11/16/20181116c4ca4238a0b923820dcc509a6f75849b103820.jpg</t>
  </si>
  <si>
    <t xml:space="preserve">บังดีนโรตีสะพานหินยามเย็น</t>
  </si>
  <si>
    <t xml:space="preserve">087 852 6023</t>
  </si>
  <si>
    <t xml:space="preserve">https://www.facebook.com/%E0%B8%A3%E0%B9%89%E0%B8%B2%E0%B8%99%E0%B8%9A%E0%B8%B1%E0%B8%87%E0%B8%94%E0%B8%B5%E0%B8%99-%E0%B9%82%E0%B8%A3%E0%B8%95%E0%B8%B5%E0%B8%AA%E0%B8%B0%E0%B8%9E%E0%B8%B2%E0%B8%99%E0%B8%AB%E0%B8%B4%E0%B8%99%E0%B8%A2%E0%B8%B2%E0%B8%A1%E0%B9%80%E0%B8%A2%E0%B9%87%E0%B8%99%E0%B8%A0%E0%B8%B9%E0%B9%80%E0%B8%81%E0%B9%87%E0%B8%95-578687535596988/</t>
  </si>
  <si>
    <t xml:space="preserve">Mon 15:00-23:00; Tu 15:00-23:00; Wed 15:00-23:00; Thu 15:00-23:00; Fri 15:00-23:00; Sat 15:00-23:00; Sun 15:00-23:00</t>
  </si>
  <si>
    <t xml:space="preserve">บังดีนโรตีสะพานหินยามเย็น
ที่อยู่ 447 ถนน ภูเก็ต ตำบล ตลาดใหญ่ อำเภอเมืองภูเก็ต ภูเก็ต 83000</t>
  </si>
  <si>
    <t xml:space="preserve">https://thailandtourismdirectory.go.th/th/restaurants/91150</t>
  </si>
  <si>
    <t xml:space="preserve">https://files.thailandtourismdirectory.go.th/assets/upload/2018/11/07/20181107c4ca4238a0b923820dcc509a6f75849b105000.jpg</t>
  </si>
  <si>
    <t xml:space="preserve">บางเจี้ยม ติ่มซำ</t>
  </si>
  <si>
    <t xml:space="preserve">ซอย สี่กอ ตำบล กะทู้ อำเภอ กะทู้ ภูเก็ต 83120</t>
  </si>
  <si>
    <t xml:space="preserve">095 469 6282</t>
  </si>
  <si>
    <t xml:space="preserve">https://www.facebook.com/bangjiamdimsum/</t>
  </si>
  <si>
    <t xml:space="preserve">บางเจี้ยม ติ่มซำ 
ที่อยู่ ซอย สี่กอ ตำบล กะทู้ อำเภอ กะทู้ ภูเก็ต 83120</t>
  </si>
  <si>
    <t xml:space="preserve">https://thailandtourismdirectory.go.th/th/restaurants/90912</t>
  </si>
  <si>
    <t xml:space="preserve">https://files.thailandtourismdirectory.go.th/assets/upload/2018/11/05/20181105c4ca4238a0b923820dcc509a6f75849b141237.jpg</t>
  </si>
  <si>
    <t xml:space="preserve">บางแปซีฟู้ด (Bang Pae Seafood)</t>
  </si>
  <si>
    <t xml:space="preserve">ซอย บางเตย ตำบล ป่าคลอก อำเภอ ถลาง ภูเก็ต 83110</t>
  </si>
  <si>
    <t xml:space="preserve">093 359 6257</t>
  </si>
  <si>
    <t xml:space="preserve">https://www.facebook.com/bangpaeseafood/</t>
  </si>
  <si>
    <t xml:space="preserve">บางแปซีฟู้ด (Bang Pae Seafood) 
ที่อยู่ ซอย บางเตย ตำบล ป่าคลอก อำเภอ ถลาง ภูเก็ต 83110</t>
  </si>
  <si>
    <t xml:space="preserve">https://thailandtourismdirectory.go.th/th/restaurants/90911</t>
  </si>
  <si>
    <t xml:space="preserve">https://files.thailandtourismdirectory.go.th/assets/upload/2018/11/05/201811052b541eceea4f20a93fe74398a9ca1e80140717.png</t>
  </si>
  <si>
    <t xml:space="preserve">บุฟเฟ่ต์บ้านปิ้งย่างภูเก็ต 199</t>
  </si>
  <si>
    <t xml:space="preserve">หมูกระทะ, บุฟเฟ่ต์</t>
  </si>
  <si>
    <t xml:space="preserve">076604019</t>
  </si>
  <si>
    <t xml:space="preserve">https://www.facebook.com/baanpingyang/</t>
  </si>
  <si>
    <t xml:space="preserve">บุฟเฟ่ต์บ้านปิ้งย่างภูเก็ต 199 
ที่อยู่ ถนนเจ้าฟ้า ตำบล ฉลอง อำเภอเมืองภูเก็ต ภูเก็ต 83000</t>
  </si>
  <si>
    <t xml:space="preserve">https://thailandtourismdirectory.go.th/th/restaurants/90854</t>
  </si>
  <si>
    <t xml:space="preserve">https://files.thailandtourismdirectory.go.th/assets/upload/2018/11/02/20181102c4ca4238a0b923820dcc509a6f75849b133913.jpg</t>
  </si>
  <si>
    <t xml:space="preserve">บ้านขนมไทยชาววัง (Ban Ka Nom Thai Chio Wang)</t>
  </si>
  <si>
    <t xml:space="preserve">ของหวาน, อาหารไทย</t>
  </si>
  <si>
    <t xml:space="preserve">ซิตี้โฮม ซอย 5 ตำบล รัษฎา อำเภอเมืองภูเก็ต ภูเก็ต 83000</t>
  </si>
  <si>
    <t xml:space="preserve">087-386-4811</t>
  </si>
  <si>
    <t xml:space="preserve">https://www.facebook.com/%E0%B8%9A%E0%B9%89%E0%B8%B2%E0%B8%99%E0%B8%82%E0%B8%99%E0%B8%A1%E0%B9%84%E0%B8%97%E0%B8%A2%E0%B8%8A%E0%B8%B2%E0%B8%A7%E0%B8%A7%E0%B8%B1%E0%B8%87-%E0%B8%A0%E0%B8%B9%E0%B9%80%E0%B8%81%E0%B9%87%E0%B8%95-315562341945470/</t>
  </si>
  <si>
    <t xml:space="preserve">Mon 07:00-16:00; Tu 07:00-16:00; Wed 07:00-16:00; Thu 07:00-16:00; Fri 07:00-16:00; Sat 07:00-16:00</t>
  </si>
  <si>
    <t xml:space="preserve">บ้านขนมไทยชาววัง (Ban Ka Nom Thai Chio Wang) 
ที่อยู่ ซิตี้โฮม ซอย 5 ตำบล รัษฎา อำเภอเมืองภูเก็ต ภูเก็ต 83000</t>
  </si>
  <si>
    <t xml:space="preserve">https://thailandtourismdirectory.go.th/th/restaurants/91795</t>
  </si>
  <si>
    <t xml:space="preserve">https://files.thailandtourismdirectory.go.th/assets/upload/2018/11/14/20181114c4ca4238a0b923820dcc509a6f75849b150412.jpg</t>
  </si>
  <si>
    <t xml:space="preserve">บ้านปูทะเล ภูเก็ต</t>
  </si>
  <si>
    <t xml:space="preserve">อาหารทะเล, อาหารไทย, อาหารกล่อง/ข้าวกล่อง เดลิเวอรี</t>
  </si>
  <si>
    <t xml:space="preserve">091 496 6555</t>
  </si>
  <si>
    <t xml:space="preserve">https://www.facebook.com/crabhouse13/</t>
  </si>
  <si>
    <t xml:space="preserve">บ้านปูทะเล ภูเก็ต 
ที่อยู่ ถนน วิรัชหงษ์หยก ตำบล รัษฎา อำเภอเมืองภูเก็ต ภูเก็ต 83000</t>
  </si>
  <si>
    <t xml:space="preserve">https://thailandtourismdirectory.go.th/th/restaurants/91428</t>
  </si>
  <si>
    <t xml:space="preserve">https://files.thailandtourismdirectory.go.th/assets/upload/2018/11/12/20181112c4ca4238a0b923820dcc509a6f75849b140835.jpg</t>
  </si>
  <si>
    <t xml:space="preserve">บ้านสวนกาแฟเขาโต๊ะแซะ</t>
  </si>
  <si>
    <t xml:space="preserve">ซอย แม่กลิ่น ตำบล รัษฎา อำเภอเมืองภูเก็ต ภูเก็ต 83000</t>
  </si>
  <si>
    <t xml:space="preserve">066-1499465</t>
  </si>
  <si>
    <t xml:space="preserve">https://www.facebook.com/BaanSuanKafeKaoTohSae/</t>
  </si>
  <si>
    <t xml:space="preserve">Mon 11:00-17:00; Wed 11:00-17:00; Thu 11:00-17:00; Fri 11:00-17:00; Sat 11:00-17:00; Sun 11:00-17:00</t>
  </si>
  <si>
    <t xml:space="preserve">บ้านสวนกาแฟเขาโต๊ะแซะ 
ที่อยู่ ซอย แม่กลิ่น ตำบล รัษฎา อำเภอเมืองภูเก็ต ภูเก็ต 83000</t>
  </si>
  <si>
    <t xml:space="preserve">https://thailandtourismdirectory.go.th/th/restaurants/91419</t>
  </si>
  <si>
    <t xml:space="preserve">https://files.thailandtourismdirectory.go.th/assets/upload/2018/11/12/20181112c4ca4238a0b923820dcc509a6f75849b113849.jpg</t>
  </si>
  <si>
    <t xml:space="preserve">บ้านหมี่แป๊ะเถว (PEHTEOW NOODLE HOUSE)</t>
  </si>
  <si>
    <t xml:space="preserve">076-219046</t>
  </si>
  <si>
    <t xml:space="preserve">https://www.facebook.com/paeteaw.noodlehouse/</t>
  </si>
  <si>
    <t xml:space="preserve">Mon 10:30-18:00; Tu 10:30-18:00; Wed 10:30-18:00; Thu 10:30-18:00; Fri 10:30-18:00; Sat 10:30-18:00; Sun 10:30-18:00</t>
  </si>
  <si>
    <t xml:space="preserve">บ้านหมี่แป๊ะเถว (PEHTEOW NOODLE HOUSE)  
ที่อยู่ 3 ประยูร ซอย 2 ตำบล ตลาดใหญ่ อำเภอเมืองภูเก็ต ภูเก็ต 83000</t>
  </si>
  <si>
    <t xml:space="preserve">https://thailandtourismdirectory.go.th/th/restaurants/91132</t>
  </si>
  <si>
    <t xml:space="preserve">https://files.thailandtourismdirectory.go.th/assets/upload/2018/11/07/20181107c4ca4238a0b923820dcc509a6f75849b095035.jpg</t>
  </si>
  <si>
    <t xml:space="preserve">บ้านเจ้าฟ้า ติ่มซำนึ่งสด</t>
  </si>
  <si>
    <t xml:space="preserve">ติ่มซำ, อาหารเช้า</t>
  </si>
  <si>
    <t xml:space="preserve">110 ถนนพัฒนา ตำบล ตลาดเหนือ อำเภอเมืองภูเก็ต ภูเก็ต 83000</t>
  </si>
  <si>
    <t xml:space="preserve">089 474 5539</t>
  </si>
  <si>
    <t xml:space="preserve">https://www.facebook.com/banchaofadimsum/</t>
  </si>
  <si>
    <t xml:space="preserve">Mon 07:00-14:00; Tu 07:00-14:00; Wed 07:00-14:00; Thu 07:00-14:00; Fri 07:00-14:00; Sat 07:00-14:00; Sun 07:00-14:00</t>
  </si>
  <si>
    <t xml:space="preserve">บ้านเจ้าฟ้า ติ่มซำนึ่งสด 
ที่อยู่ 110 ถนนพัฒนา ตำบล ตลาดเหนือ อำเภอเมืองภูเก็ต ภูเก็ต 83000</t>
  </si>
  <si>
    <t xml:space="preserve">https://thailandtourismdirectory.go.th/th/restaurants/90798</t>
  </si>
  <si>
    <t xml:space="preserve">https://files.thailandtourismdirectory.go.th/assets/upload/2018/11/01/20181101c4ca4238a0b923820dcc509a6f75849b114436.jpg</t>
  </si>
  <si>
    <t xml:space="preserve">บ้านแม่สาย @ภูเก็ต</t>
  </si>
  <si>
    <t xml:space="preserve">อาหารเหนือ, อาหารจานเดียว/ตามสั่ง</t>
  </si>
  <si>
    <t xml:space="preserve">083 204 3431</t>
  </si>
  <si>
    <t xml:space="preserve">https://www.facebook.com/BaanMaesai/</t>
  </si>
  <si>
    <t xml:space="preserve">บ้านแม่สาย @ภูเก็ต 
ที่อยู่ ถนน วิรัชหงษ์หยก ตำบล รัษฎา อำเภอเมืองภูเก็ต ภูเก็ต 83000</t>
  </si>
  <si>
    <t xml:space="preserve">https://thailandtourismdirectory.go.th/th/restaurants/91963</t>
  </si>
  <si>
    <t xml:space="preserve">https://files.thailandtourismdirectory.go.th/assets/upload/2018/11/15/20181115c4ca4238a0b923820dcc509a6f75849b132834.jpg</t>
  </si>
  <si>
    <t xml:space="preserve">ปลาหมอสี (Pra Mho Se)</t>
  </si>
  <si>
    <t xml:space="preserve">73 ถนน กระ ตำบล ตลาดใหญ่ อำเภอเมืองภูเก็ต ภูเก็ต 83000</t>
  </si>
  <si>
    <t xml:space="preserve">076 210 095</t>
  </si>
  <si>
    <t xml:space="preserve">https://www.facebook.com/%E0%B8%A3%E0%B9%89%E0%B8%B2%E0%B8%99%E0%B8%AD%E0%B8%B2%E0%B8%AB%E0%B8%B2%E0%B8%A3%E0%B8%9B%E0%B8%A5%E0%B8%B2%E0%B8%AB%E0%B8%A1%E0%B8%AD%E0%B8%AA%E0%B8%B5-%E0%B8%8B%E0%B8%B5%E0%B8%9F%E0%B8%B9%E0%B9%8A%E0%B8%94-156793401174757/</t>
  </si>
  <si>
    <t xml:space="preserve">Mon 17:30-22:30; Tu 17:30-22:30; Wed 17:30-22:30; Thu 17:30-22:30; Fri 17:30-22:30; Sat 17:30-22:30; Sun 17:30-22:30</t>
  </si>
  <si>
    <t xml:space="preserve">ปลาหมอสี (Pra Mho Se)
ที่อยู่ 73 ถนน กระ ตำบล ตลาดใหญ่ อำเภอเมืองภูเก็ต ภูเก็ต 83000</t>
  </si>
  <si>
    <t xml:space="preserve">https://thailandtourismdirectory.go.th/th/restaurants/90875</t>
  </si>
  <si>
    <t xml:space="preserve">https://files.thailandtourismdirectory.go.th/assets/upload/2018/11/02/20181102c4ca4238a0b923820dcc509a6f75849b154543.jpg</t>
  </si>
  <si>
    <t xml:space="preserve">ปอเปี๊ยะสดหล่อโรง</t>
  </si>
  <si>
    <t xml:space="preserve">081-8956957</t>
  </si>
  <si>
    <t xml:space="preserve">https://www.facebook.com/%E0%B8%A3%E0%B9%89%E0%B8%B2%E0%B8%99%E0%B8%9B%E0%B8%AD%E0%B9%80%E0%B8%9B%E0%B8%B5%E0%B9%8A%E0%B8%A2%E0%B8%B0%E0%B8%AA%E0%B8%94%E0%B8%AB%E0%B8%A5%E0%B9%88%E0%B8%AD%E0%B9%82%E0%B8%A3%E0%B8%87-%E0%B8%A0%E0%B8%B9%E0%B9%80%E0%B8%81%E0%B9%87%E0%B8%95-%E0%B8%95%E0%B9%89%E0%B8%99%E0%B8%89%E0%B9%88%E0%B8%B3%E0%B8%89%E0%B8%B2-239041459486967/</t>
  </si>
  <si>
    <t xml:space="preserve">Mon 10:30-17:00; Wed 10:30-17:00; Thu 10:30-17:00; Fri 10:30-17:00; Sat 10:30-17:00; Sun 10:30-17:00</t>
  </si>
  <si>
    <t xml:space="preserve">ปอเปี๊ยะสดหล่อโรง
ที่อยู่ 10 ถนนพัฒนา ตำบล ตลาดเหนือ อำเภอเมืองภูเก็ต ภูเก็ต 83000</t>
  </si>
  <si>
    <t xml:space="preserve">https://thailandtourismdirectory.go.th/th/restaurants/90861</t>
  </si>
  <si>
    <t xml:space="preserve">https://files.thailandtourismdirectory.go.th/assets/upload/2018/11/02/20181102c4ca4238a0b923820dcc509a6f75849b142909.jpg</t>
  </si>
  <si>
    <t xml:space="preserve">ปันตัย</t>
  </si>
  <si>
    <t xml:space="preserve">อาหารทะเล, อาหารไทย, อาหารมุสลิม/อิสลาม</t>
  </si>
  <si>
    <t xml:space="preserve">092 130 8123</t>
  </si>
  <si>
    <t xml:space="preserve">https://www.facebook.com/PantaiPhuket/</t>
  </si>
  <si>
    <t xml:space="preserve">ปันตัย 
ที่อยู่ 4233 ตำบลป่าตอง อำเภอ กะทู้ ภูเก็ต 83150</t>
  </si>
  <si>
    <t xml:space="preserve">https://thailandtourismdirectory.go.th/th/restaurants/90838</t>
  </si>
  <si>
    <t xml:space="preserve">https://files.thailandtourismdirectory.go.th/assets/upload/2018/11/02/20181102c4ca4238a0b923820dcc509a6f75849b093636.jpg</t>
  </si>
  <si>
    <t xml:space="preserve">ปากพนังหมูกระทะ</t>
  </si>
  <si>
    <t xml:space="preserve">ซอยเพซรงาม ตำบล ตลาดเหนือ อำเภอเมืองภูเก็ต ภูเก็ต 83000</t>
  </si>
  <si>
    <t xml:space="preserve">084 307 6022</t>
  </si>
  <si>
    <t xml:space="preserve">https://www.facebook.com/%E0%B8%9B%E0%B8%B2%E0%B8%81%E0%B8%9E%E0%B8%99%E0%B8%B1%E0%B8%87%E0%B8%AB%E0%B8%A1%E0%B8%B9%E0%B8%81%E0%B8%A3%E0%B8%B0%E0%B8%97%E0%B8%B0-%E0%B8%93-%E0%B8%A0%E0%B8%B9%E0%B9%80%E0%B8%81%E0%B9%87%E0%B8%95-804498976259818/</t>
  </si>
  <si>
    <t xml:space="preserve">ปากพนังหมูกระทะ
ที่อยู่ ซอยเพซรงาม ตำบล ตลาดเหนือ อำเภอเมืองภูเก็ต ภูเก็ต 83000</t>
  </si>
  <si>
    <t xml:space="preserve">https://thailandtourismdirectory.go.th/th/restaurants/91199</t>
  </si>
  <si>
    <t xml:space="preserve">https://files.thailandtourismdirectory.go.th/assets/upload/2018/11/07/20181107c4ca4238a0b923820dcc509a6f75849b150301.jpg</t>
  </si>
  <si>
    <t xml:space="preserve">ปินยาน่า</t>
  </si>
  <si>
    <t xml:space="preserve">089 474 1333</t>
  </si>
  <si>
    <t xml:space="preserve">https://www.facebook.com/pinanaphuket/</t>
  </si>
  <si>
    <t xml:space="preserve">ปินยาน่า 
ที่อยู่ 402 ตำบล ศรีสุนทร อำเภอ ถลาง ภูเก็ต 83110</t>
  </si>
  <si>
    <t xml:space="preserve">https://thailandtourismdirectory.go.th/th/restaurants/91237</t>
  </si>
  <si>
    <t xml:space="preserve">https://files.thailandtourismdirectory.go.th/assets/upload/2018/11/08/20181108c4ca4238a0b923820dcc509a6f75849b092616.jpg</t>
  </si>
  <si>
    <t xml:space="preserve">ป่าหล่าย ซีฟู้ด</t>
  </si>
  <si>
    <t xml:space="preserve">ซอย ป่าหล่าย ตำบล ฉลอง อำเภอเมืองภูเก็ต ภูเก็ต 83000</t>
  </si>
  <si>
    <t xml:space="preserve">076 282 174</t>
  </si>
  <si>
    <t xml:space="preserve">https://www.facebook.com/palaiseafoodphuket/</t>
  </si>
  <si>
    <t xml:space="preserve">ป่าหล่าย ซีฟู้ด 
ที่อยู่ ซอย ป่าหล่าย ตำบล ฉลอง อำเภอเมืองภูเก็ต ภูเก็ต 83000</t>
  </si>
  <si>
    <t xml:space="preserve">https://thailandtourismdirectory.go.th/th/restaurants/90842</t>
  </si>
  <si>
    <t xml:space="preserve">https://files.thailandtourismdirectory.go.th/assets/upload/2018/11/02/20181102c4ca4238a0b923820dcc509a6f75849b100115.jpg</t>
  </si>
  <si>
    <t xml:space="preserve">ผักบุ้งไฟแดง (Pakbung Fidang)</t>
  </si>
  <si>
    <t xml:space="preserve">087 621 5238</t>
  </si>
  <si>
    <t xml:space="preserve">https://www.facebook.com/%E0%B8%A3%E0%B9%89%E0%B8%B2%E0%B8%99%E0%B8%9C%E0%B8%B1%E0%B8%81%E0%B8%9A%E0%B8%B8%E0%B9%89%E0%B8%87%E0%B9%84%E0%B8%9F%E0%B9%81%E0%B8%94%E0%B8%87-Pakbung-fidang-Thai-Restaurant-434070833410374/</t>
  </si>
  <si>
    <t xml:space="preserve">Sun 10:00-23:59; Mon 00:00-02:00; Mon 10:00-23:59; Tu 00:00-02:00; Tu 10:00-23:59; Wed 00:00-02:00; Wed 10:00-23:59; Thu 00:00-02:00; Thu 10:00-23:59; Fri 00:00-02:00; Fri 10:00-23:59; Sat 00:00-02:00; Sat 10:00-23:59; Sun 00:00-02:00</t>
  </si>
  <si>
    <t xml:space="preserve">ผักบุ้งไฟแดง (Pakbung Fidang) 
ที่อยู่ ถนนเจ้าฟ้า ตำบล ฉลอง อำเภอเมืองภูเก็ต ภูเก็ต 83000</t>
  </si>
  <si>
    <t xml:space="preserve">https://thailandtourismdirectory.go.th/th/restaurants/91480</t>
  </si>
  <si>
    <t xml:space="preserve">https://files.thailandtourismdirectory.go.th/assets/upload/2018/11/13/20181113c4ca4238a0b923820dcc509a6f75849b151125.jpg</t>
  </si>
  <si>
    <t xml:space="preserve">ผัดไทย หอยทอด สามกอง ภูเก็ต</t>
  </si>
  <si>
    <t xml:space="preserve">084 993 2027</t>
  </si>
  <si>
    <t xml:space="preserve">https://www.facebook.com/padthaiphangnganamchaphuket/</t>
  </si>
  <si>
    <t xml:space="preserve">Sun 17:00-23:59; Mon 00:00-00:30; Mon 17:00-23:59; Tu 00:00-00:30; Tu 17:00-23:59; Wed 00:00-00:30; Wed 17:00-23:59; Thu 00:00-00:30; Thu 17:00-23:59; Fri 00:00-00:30; Fri 17:00-23:59; Sat 00:00-00:30; Sat 17:00-23:59; Sun 00:00-00:30</t>
  </si>
  <si>
    <t xml:space="preserve">ผัดไทย หอยทอด สามกอง ภูเก็ต 
ที่อยู่ 260/45 ถนนเยาวราช ตำบล ตลาดใหญ่ อำเภอเมืองภูเก็ต ภูเก็ต 83000</t>
  </si>
  <si>
    <t xml:space="preserve">https://thailandtourismdirectory.go.th/th/restaurants/91184</t>
  </si>
  <si>
    <t xml:space="preserve">https://files.thailandtourismdirectory.go.th/assets/upload/2018/11/07/20181107c4ca4238a0b923820dcc509a6f75849b141136.jpg</t>
  </si>
  <si>
    <t xml:space="preserve">ผัดไทยพานหิน</t>
  </si>
  <si>
    <t xml:space="preserve">271 เเสนสุข ซอย 2 ตำบล ตลาดใหญ่ อำเภอเมืองภูเก็ต ภูเก็ต 83000</t>
  </si>
  <si>
    <t xml:space="preserve">085 888 5756</t>
  </si>
  <si>
    <t xml:space="preserve">https://www.facebook.com/PadthaiPhanhin/</t>
  </si>
  <si>
    <t xml:space="preserve">ผัดไทยพานหิน 
ที่อยู่ 271 เเสนสุข ซอย 2 ตำบล ตลาดใหญ่ อำเภอเมืองภูเก็ต ภูเก็ต 83000</t>
  </si>
  <si>
    <t xml:space="preserve">https://thailandtourismdirectory.go.th/th/restaurants/90936</t>
  </si>
  <si>
    <t xml:space="preserve">https://files.thailandtourismdirectory.go.th/assets/upload/2018/11/05/20181105c4ca4238a0b923820dcc509a6f75849b153907.jpg</t>
  </si>
  <si>
    <t xml:space="preserve">ผัดไทยแม่ยวนใจ</t>
  </si>
  <si>
    <t xml:space="preserve">085 887 2339</t>
  </si>
  <si>
    <t xml:space="preserve">https://www.facebook.com/PadThaiYunajai/</t>
  </si>
  <si>
    <t xml:space="preserve">ผัดไทยแม่ยวนใจ 
ที่อยู่ ตำบล กะทู้ อำเภอ กะทู้ ภูเก็ต 83120</t>
  </si>
  <si>
    <t xml:space="preserve">https://thailandtourismdirectory.go.th/th/restaurants/91935</t>
  </si>
  <si>
    <t xml:space="preserve">https://files.thailandtourismdirectory.go.th/assets/upload/2018/11/15/20181115c4ca4238a0b923820dcc509a6f75849b104806.jpg</t>
  </si>
  <si>
    <t xml:space="preserve">พิเศษ (Piset Restaurant Phuket)</t>
  </si>
  <si>
    <t xml:space="preserve">097 114 8237</t>
  </si>
  <si>
    <t xml:space="preserve">https://www.facebook.com/pisetrestaurantphuket/</t>
  </si>
  <si>
    <t xml:space="preserve">พิเศษ (Piset Restaurant Phuket) 
ที่อยู่ ถนนเยาวราช ตำบล ตลาดเหนือ อำเภอเมืองภูเก็ต ภูเก็ต 83000</t>
  </si>
  <si>
    <t xml:space="preserve">https://thailandtourismdirectory.go.th/th/restaurants/91275</t>
  </si>
  <si>
    <t xml:space="preserve">https://files.thailandtourismdirectory.go.th/assets/upload/2018/11/08/20181108c4ca4238a0b923820dcc509a6f75849b135552.jpg</t>
  </si>
  <si>
    <t xml:space="preserve">พี่ป้อมขนมจีน (Kanomjeen Pee Pom)</t>
  </si>
  <si>
    <t xml:space="preserve">46 ถนน แม่หลวน ตำบล รัษฎา อำเภอเมืองภูเก็ต ภูเก็ต 83000</t>
  </si>
  <si>
    <t xml:space="preserve">082 315 8338</t>
  </si>
  <si>
    <t xml:space="preserve">https://www.facebook.com/kanomjeempeepom108/</t>
  </si>
  <si>
    <t xml:space="preserve">Mon 07:00-16:00; Tu 07:00-16:00; Wed 07:00-16:00; Thu 07:00-16:00; Fri 07:00-16:00; Sat 07:00-16:00; Sun 07:00-16:00</t>
  </si>
  <si>
    <t xml:space="preserve">พี่ป้อมขนมจีน (Kanomjeen Pee Pom) 
ที่อยู่ 46 ถนน แม่หลวน ตำบล รัษฎา อำเภอเมืองภูเก็ต ภูเก็ต 83000</t>
  </si>
  <si>
    <t xml:space="preserve">https://thailandtourismdirectory.go.th/th/restaurants/91393</t>
  </si>
  <si>
    <t xml:space="preserve">https://files.thailandtourismdirectory.go.th/assets/upload/2018/11/09/20181109c4ca4238a0b923820dcc509a6f75849b153803.jpg</t>
  </si>
  <si>
    <t xml:space="preserve">พุงกาง BBQ บุฟเฟ่ต์</t>
  </si>
  <si>
    <t xml:space="preserve">บุฟเฟ่ต์, ปิ้งย่าง</t>
  </si>
  <si>
    <t xml:space="preserve">ตำบล รัษฎา อำเภอเมืองภูเก็ต ภูเก็ต 83000</t>
  </si>
  <si>
    <t xml:space="preserve">092 423 2492</t>
  </si>
  <si>
    <t xml:space="preserve">https://www.facebook.com/Pungkangkungkata/</t>
  </si>
  <si>
    <t xml:space="preserve">พุงกาง BBQ บุฟเฟ่ต์ 
ที่อยู่ 4020 ตำบล รัษฎา อำเภอเมืองภูเก็ต ภูเก็ต 83000</t>
  </si>
  <si>
    <t xml:space="preserve">https://thailandtourismdirectory.go.th/th/restaurants/91344</t>
  </si>
  <si>
    <t xml:space="preserve">https://files.thailandtourismdirectory.go.th/assets/upload/2018/11/09/20181109c4ca4238a0b923820dcc509a6f75849b113143.jpg</t>
  </si>
  <si>
    <t xml:space="preserve">ฟองนม (Fong Nom)</t>
  </si>
  <si>
    <t xml:space="preserve">อาหารไทย, อาหารจานเดียว/ตามสั่ง, เครื่องดื่ม/น้ำผลไม้/ชานมไข่มุก</t>
  </si>
  <si>
    <t xml:space="preserve">098 285 7799</t>
  </si>
  <si>
    <t xml:space="preserve">https://www.facebook.com/FongNomPhuket/</t>
  </si>
  <si>
    <t xml:space="preserve">ฟองนม (Fong Nom) 
ที่อยู่ 4020 ตำบล กะทู้ อำเภอ กะทู้ ภูเก็ต 83120</t>
  </si>
  <si>
    <t xml:space="preserve">https://thailandtourismdirectory.go.th/th/restaurants/90867</t>
  </si>
  <si>
    <t xml:space="preserve">https://files.thailandtourismdirectory.go.th/assets/upload/2018/11/02/20181102c4ca4238a0b923820dcc509a6f75849b150329.jpg</t>
  </si>
  <si>
    <t xml:space="preserve">ภัตตาคารแหลมทอง</t>
  </si>
  <si>
    <t xml:space="preserve">อาหารทะเล, อาหารจีน</t>
  </si>
  <si>
    <t xml:space="preserve">076 224 349</t>
  </si>
  <si>
    <t xml:space="preserve">https://www.facebook.com/LaemthongRestaurant/</t>
  </si>
  <si>
    <t xml:space="preserve">Sun 17:00-22:00; Mon 11:00-14:00; Mon 17:00-22:00; Tu 11:00-14:00; Tu 17:00-22:00; Wed 11:00-14:00; Wed 17:00-22:00; Thu 11:00-14:00; Thu 17:00-22:00; Fri 11:00-14:00; Fri 17:00-22:00; Sat 11:00-14:00; Sat 17:00-22:00; Sun 11:00-14:00</t>
  </si>
  <si>
    <t xml:space="preserve">ภัตตาคารแหลมทอง
ที่อยู่ 10 ซอย สุรินทร์ ตำบล ตลาดใหญ่ อำเภอเมืองภูเก็ต ภูเก็ต 83000</t>
  </si>
  <si>
    <t xml:space="preserve">https://thailandtourismdirectory.go.th/th/restaurants/90901</t>
  </si>
  <si>
    <t xml:space="preserve">https://files.thailandtourismdirectory.go.th/assets/upload/2018/11/05/20181105c4ca4238a0b923820dcc509a6f75849b131523.jpg</t>
  </si>
  <si>
    <t xml:space="preserve">ภูเก็ต อันดามัน แคมป์</t>
  </si>
  <si>
    <t xml:space="preserve">081-693-2656 </t>
  </si>
  <si>
    <t xml:space="preserve">https://www.facebook.com/phuketcamp/</t>
  </si>
  <si>
    <t xml:space="preserve">ภูเก็ต อันดามัน แคมป์ 
ที่อยู่ ตำบล รัษฎา อำเภอเมืองภูเก็ต ภูเก็ต 83000</t>
  </si>
  <si>
    <t xml:space="preserve">https://thailandtourismdirectory.go.th/th/restaurants/90938</t>
  </si>
  <si>
    <t xml:space="preserve">https://files.thailandtourismdirectory.go.th/assets/upload/2018/11/05/20181105c4ca4238a0b923820dcc509a6f75849b154710.jpg</t>
  </si>
  <si>
    <t xml:space="preserve">ภูเก็ตซีฟู้ดบุฟเฟ่ต์</t>
  </si>
  <si>
    <t xml:space="preserve">หมูกระทะ, อาหารไทย</t>
  </si>
  <si>
    <t xml:space="preserve">082-888-0817 </t>
  </si>
  <si>
    <t xml:space="preserve">https://www.facebook.com/phuketseafoodbuffet/</t>
  </si>
  <si>
    <t xml:space="preserve">ภูเก็ตซีฟู้ดบุฟเฟ่ต์ 
ที่อยู่ ถนนเจ้าฟ้า ตำบล ฉลอง อำเภอเมืองภูเก็ต ภูเก็ต 83000</t>
  </si>
  <si>
    <t xml:space="preserve">https://thailandtourismdirectory.go.th/th/restaurants/91327</t>
  </si>
  <si>
    <t xml:space="preserve">https://files.thailandtourismdirectory.go.th/assets/upload/2018/11/09/20181109c4ca4238a0b923820dcc509a6f75849b103719.jpg</t>
  </si>
  <si>
    <t xml:space="preserve">มะลิ อาหารพื้นเมืองภูเก็ต</t>
  </si>
  <si>
    <t xml:space="preserve">ของหวาน, อาหารไทย, อาหารใต้</t>
  </si>
  <si>
    <t xml:space="preserve">090 324 6351</t>
  </si>
  <si>
    <t xml:space="preserve">https://www.facebook.com/maliphuket324/</t>
  </si>
  <si>
    <t xml:space="preserve">มะลิ อาหารพื้นเมืองภูเก็ต 
ที่อยู่ ถนน เจ้าฟ้าตะวันตก ตำบล รัษฎา อำเภอเมืองภูเก็ต ภูเก็ต 83000</t>
  </si>
  <si>
    <t xml:space="preserve">https://thailandtourismdirectory.go.th/th/restaurants/90859</t>
  </si>
  <si>
    <t xml:space="preserve">https://files.thailandtourismdirectory.go.th/assets/upload/2018/11/02/20181102c4ca4238a0b923820dcc509a6f75849b141425.jpg</t>
  </si>
  <si>
    <t xml:space="preserve">มานี มี หม้อ (Manee Me More)</t>
  </si>
  <si>
    <t xml:space="preserve">ชาบู/สุกี้ยากี้/หม้อไฟ, บุฟเฟ่ต์</t>
  </si>
  <si>
    <t xml:space="preserve">062-9214941 </t>
  </si>
  <si>
    <t xml:space="preserve">https://www.facebook.com/maneemeemorphuket/</t>
  </si>
  <si>
    <t xml:space="preserve">มานี มี หม้อ (Manee Me More) 
96 สุทัศน์ ซอย 2 ตำบล ตลาดใหญ่ อำเภอเมืองภูเก็ต ภูเก็ต 83000</t>
  </si>
  <si>
    <t xml:space="preserve">https://thailandtourismdirectory.go.th/th/restaurants/91425</t>
  </si>
  <si>
    <t xml:space="preserve">https://files.thailandtourismdirectory.go.th/assets/upload/2018/11/12/20181112c4ca4238a0b923820dcc509a6f75849b133835.jpg</t>
  </si>
  <si>
    <t xml:space="preserve">มุมอร่อย เจ๊น้อยป่าหล่าย</t>
  </si>
  <si>
    <t xml:space="preserve">076 390 193</t>
  </si>
  <si>
    <t xml:space="preserve">https://www.facebook.com/Aroicornerphuket/</t>
  </si>
  <si>
    <t xml:space="preserve">Mon 11:00-22:00; Tu 11:00-22:00; Thu 11:00-22:00; Fri 11:00-22:00; Sat 11:00-22:00; Sun 11:00-22:00</t>
  </si>
  <si>
    <t xml:space="preserve">มุมอร่อย เจ๊น้อยป่าหล่าย
ที่อยู่ ซอย มุดง ตำบล ฉลอง อำเภอเมืองภูเก็ต ภูเก็ต 83000</t>
  </si>
  <si>
    <t xml:space="preserve">https://thailandtourismdirectory.go.th/th/restaurants/91793</t>
  </si>
  <si>
    <t xml:space="preserve">https://files.thailandtourismdirectory.go.th/assets/upload/2018/11/14/20181114c4ca4238a0b923820dcc509a6f75849b145328.jpg</t>
  </si>
  <si>
    <t xml:space="preserve">ยกซด super เล้ง</t>
  </si>
  <si>
    <t xml:space="preserve">089 063 6909</t>
  </si>
  <si>
    <t xml:space="preserve">https://www.facebook.com/yoksodsuperlengphuket/</t>
  </si>
  <si>
    <t xml:space="preserve">ยกซด super เล้ง
ที่อยู่ ถนน วิรัชหงษ์หยก ตำบล รัษฎา อำเภอเมืองภูเก็ต ภูเก็ต 83000</t>
  </si>
  <si>
    <t xml:space="preserve">https://thailandtourismdirectory.go.th/th/restaurants/91420</t>
  </si>
  <si>
    <t xml:space="preserve">https://files.thailandtourismdirectory.go.th/assets/upload/2018/11/12/20181112c4ca4238a0b923820dcc509a6f75849b115452.jpg</t>
  </si>
  <si>
    <t xml:space="preserve">รสนิยม ติ่มซำ (รสนิยม)</t>
  </si>
  <si>
    <t xml:space="preserve">ก๋วยเตี๋ยว, ติ่มซำ</t>
  </si>
  <si>
    <t xml:space="preserve">106 ถนนระนอง ตำบล ตลาดเหนือ อำเภอเมืองภูเก็ต ภูเก็ต 83000</t>
  </si>
  <si>
    <t xml:space="preserve">084 060 8591</t>
  </si>
  <si>
    <t xml:space="preserve">https://www.facebook.com/RosniyomPhuket/</t>
  </si>
  <si>
    <t xml:space="preserve">Mon 06:30-14:30; Tu 06:30-14:30; Wed 06:30-14:30; Thu 06:30-14:30; Fri 06:30-14:30; Sat 06:30-14:30; Sun 06:30-14:30</t>
  </si>
  <si>
    <t xml:space="preserve">รสนิยม ติ่มซำ (รสนิยม) 
ที่อยู่ 106 ถนนระนอง ตำบล ตลาดเหนือ อำเภอเมืองภูเก็ต ภูเก็ต 83000</t>
  </si>
  <si>
    <t xml:space="preserve">https://thailandtourismdirectory.go.th/th/restaurants/91469</t>
  </si>
  <si>
    <t xml:space="preserve">https://files.thailandtourismdirectory.go.th/assets/upload/2018/11/13/20181113c4ca4238a0b923820dcc509a6f75849b132749.jpg</t>
  </si>
  <si>
    <t xml:space="preserve">ระฟ้าภูเก็ต ติ่มซำฮาลาล (Rafah Phuket)</t>
  </si>
  <si>
    <t xml:space="preserve">ติ่มซำ, อาหารมุสลิม/อิสลาม</t>
  </si>
  <si>
    <t xml:space="preserve">086-898-6423</t>
  </si>
  <si>
    <t xml:space="preserve">https://www.facebook.com/rafahphuket/</t>
  </si>
  <si>
    <t xml:space="preserve">Mon 07:00-13:00; Tu 07:00-13:00; Wed 07:00-13:00; Thu 07:00-13:00; Sat 07:00-13:00; Sun 07:00-13:00</t>
  </si>
  <si>
    <t xml:space="preserve">ระฟ้าภูเก็ต ติ่มซำฮาลาล (Rafah Phuket) 
ที่อยู่ ถนน รัษฎานุสรณ์ ตำบล รัษฎา อำเภอเมืองภูเก็ต ภูเก็ต 83000</t>
  </si>
  <si>
    <t xml:space="preserve">https://thailandtourismdirectory.go.th/th/restaurants/91427</t>
  </si>
  <si>
    <t xml:space="preserve">https://files.thailandtourismdirectory.go.th/assets/upload/2018/11/12/20181112c4ca4238a0b923820dcc509a6f75849b135836.jpg</t>
  </si>
  <si>
    <t xml:space="preserve">ริมทาง @ ฉลอง</t>
  </si>
  <si>
    <t xml:space="preserve">ของหวาน, เครื่องดื่ม/น้ำผลไม้/ชานมไข่มุก, คาเฟ่</t>
  </si>
  <si>
    <t xml:space="preserve">ถนน หลวงพ่อแช่ม ตำบล ฉลอง อำเภอเมืองภูเก็ต ภูเก็ต 83000</t>
  </si>
  <si>
    <t xml:space="preserve">076 374 911</t>
  </si>
  <si>
    <t xml:space="preserve">https://www.facebook.com/Rimtangatchalong/</t>
  </si>
  <si>
    <t xml:space="preserve">ริมทาง @ ฉลอง 
ที่อยู่ ถนน หลวงพ่อแช่ม ตำบล ฉลอง อำเภอเมืองภูเก็ต ภูเก็ต 83000</t>
  </si>
  <si>
    <t xml:space="preserve">https://thailandtourismdirectory.go.th/th/restaurants/90850</t>
  </si>
  <si>
    <t xml:space="preserve">https://files.thailandtourismdirectory.go.th/assets/upload/2018/11/02/20181102c4ca4238a0b923820dcc509a6f75849b112613.jpg</t>
  </si>
  <si>
    <t xml:space="preserve">ร้านข้าวต้มถนนดีบุก</t>
  </si>
  <si>
    <t xml:space="preserve">076 215 731</t>
  </si>
  <si>
    <t xml:space="preserve">https://www.facebook.com/%E0%B8%A3%E0%B9%89%E0%B8%B2%E0%B8%99%E0%B8%82%E0%B9%89%E0%B8%B2%E0%B8%A7%E0%B8%95%E0%B9%89%E0%B8%A1%E0%B8%94%E0%B8%B5%E0%B8%9A%E0%B8%B8%E0%B8%81-121232817983258/</t>
  </si>
  <si>
    <t xml:space="preserve">Mon 05:30-12:00; Tu 05:30-12:00; Wed 05:30-12:00; Thu 05:30-12:00; Fri 05:30-12:00; Sat 05:30-12:00; Sun 05:30-12:00</t>
  </si>
  <si>
    <t xml:space="preserve">ร้านข้าวต้มถนนดีบุก 
ที่อยู่ ซอย คณิต หงษ์หยก ตำบล ตลาดใหญ่ อำเภอเมืองภูเก็ต ภูเก็ต 83000</t>
  </si>
  <si>
    <t xml:space="preserve">https://thailandtourismdirectory.go.th/th/restaurants/90882</t>
  </si>
  <si>
    <t xml:space="preserve">https://files.thailandtourismdirectory.go.th/assets/upload/2018/11/05/20181105c4ca4238a0b923820dcc509a6f75849b100614.jpg</t>
  </si>
  <si>
    <t xml:space="preserve">ร้านน้ำย้อย (NAM YOI RESTAURANT)</t>
  </si>
  <si>
    <t xml:space="preserve">086 963 9393</t>
  </si>
  <si>
    <t xml:space="preserve">https://www.facebook.com/NaamYoi/</t>
  </si>
  <si>
    <t xml:space="preserve">ร้านน้ำย้อย (NAM YOI RESTAURANT) 
ที่อยู่ ถนน ร่วมพัฒนา ตำบล รัษฎา อำเภอเมืองภูเก็ต ภูเก็ต 83000</t>
  </si>
  <si>
    <t xml:space="preserve">https://thailandtourismdirectory.go.th/th/restaurants/90808</t>
  </si>
  <si>
    <t xml:space="preserve">https://files.thailandtourismdirectory.go.th/assets/upload/2018/11/01/20181101c4ca4238a0b923820dcc509a6f75849b140039.jpg</t>
  </si>
  <si>
    <t xml:space="preserve">ร้านอยู่ดี ไข่กระทะ</t>
  </si>
  <si>
    <t xml:space="preserve">อาหารเวียดนาม</t>
  </si>
  <si>
    <t xml:space="preserve">084 848 9602</t>
  </si>
  <si>
    <t xml:space="preserve">https://www.facebook.com/%E0%B8%AD%E0%B8%A2%E0%B8%B9%E0%B9%88%E0%B8%94%E0%B8%B5-%E0%B9%84%E0%B8%82%E0%B9%88%E0%B8%81%E0%B8%A3%E0%B8%B0%E0%B8%97%E0%B8%B0-189130687886487/</t>
  </si>
  <si>
    <t xml:space="preserve">Mon 05:30-14:00; Tu 05:30-14:00; Wed 05:30-14:00; Thu 05:30-14:00; Fri 05:30-14:00; Sat 05:30-14:00; Sun 05:30-14:00</t>
  </si>
  <si>
    <t xml:space="preserve">ร้านอยู่ดี ไข่กระทะ 
ที่อยู่ ถนน บางกอก ตำบล ตลาดเหนือ อำเภอเมืองภูเก็ต ภูเก็ต 83000</t>
  </si>
  <si>
    <t xml:space="preserve">https://thailandtourismdirectory.go.th/th/restaurants/90947</t>
  </si>
  <si>
    <t xml:space="preserve">https://files.thailandtourismdirectory.go.th/assets/upload/2018/11/05/20181105c4ca4238a0b923820dcc509a6f75849b161917.jpg</t>
  </si>
  <si>
    <t xml:space="preserve">ร้านอาจารย์</t>
  </si>
  <si>
    <t xml:space="preserve">086 281 5598</t>
  </si>
  <si>
    <t xml:space="preserve">https://www.facebook.com/%E0%B8%A3%E0%B9%89%E0%B8%B2%E0%B8%99%E0%B8%AD%E0%B8%B2%E0%B8%88%E0%B8%B2%E0%B8%A3%E0%B8%A2%E0%B9%8C-446683402194637/</t>
  </si>
  <si>
    <t xml:space="preserve">Mon 17:00-22:30; Tu 17:00-22:30; Wed 17:00-22:30; Thu 17:00-22:30; Fri 17:00-22:30; Sat 17:00-22:30; Sun 17:00-22:30</t>
  </si>
  <si>
    <t xml:space="preserve">ร้านอาจารย์ 
ที่อยู่ 4021 ตำบล ฉลอง อำเภอเมืองภูเก็ต ภูเก็ต 83000</t>
  </si>
  <si>
    <t xml:space="preserve">https://thailandtourismdirectory.go.th/th/restaurants/91334</t>
  </si>
  <si>
    <t xml:space="preserve">https://files.thailandtourismdirectory.go.th/assets/upload/2018/11/09/20181109c4ca4238a0b923820dcc509a6f75849b110717.jpg</t>
  </si>
  <si>
    <t xml:space="preserve">ร้านอาหารกอบัว ภูเก็ต</t>
  </si>
  <si>
    <t xml:space="preserve">076 217 234</t>
  </si>
  <si>
    <t xml:space="preserve">https://www.facebook.com/KorbuaPhuketRestaurant/</t>
  </si>
  <si>
    <t xml:space="preserve">Mon 10:00-22:00; Tu 10:00-22:00; Wed 10:00-22:00; Thu 10:00-22:00; Fri 10:00-22:00; Sat 10:00-22:00</t>
  </si>
  <si>
    <t xml:space="preserve">ร้านอาหารกอบัว ภูเก็ต 
ที่อยู่ ถนน รัษฎานุสรณ์ ตำบล รัษฎา อำเภอเมืองภูเก็ต ภูเก็ต 83000</t>
  </si>
  <si>
    <t xml:space="preserve">https://thailandtourismdirectory.go.th/th/restaurants/91339</t>
  </si>
  <si>
    <t xml:space="preserve">https://files.thailandtourismdirectory.go.th/assets/upload/2018/11/09/20181109c4ca4238a0b923820dcc509a6f75849b111537.jpg</t>
  </si>
  <si>
    <t xml:space="preserve">ร้านอาหารกันเอง</t>
  </si>
  <si>
    <t xml:space="preserve">44/1 ม.5 ถ.วิเศษ ต.ราไวย์ อ.เมืองภูเก็ต จ.ภูเก็ต</t>
  </si>
  <si>
    <t xml:space="preserve">Mon 10:30-23:00; Tu 10:30-23:00; Wed 10:30-23:00; Thu 10:30-23:00; Fri 10:30-23:00; Sat 10:30-23:00; Sun 10:30-23:00</t>
  </si>
  <si>
    <t xml:space="preserve">ร้าน กันเองแอทเพียร์ ปรับโฉมให้ดูโมเดิร์นและเพิ่มความสะดวกสบายมากขึ้น ที่นี่ได้เปรียบในเรื่องของโลเคชั่นที่อยู่ริมทะเล และใกล้ท่าเรือที่ทอดยาวไปจนสุดสายตา ในช่วงหัวค่ำแสงไฟระยิบระยับจากสะพานสร้างเสน่ห์ให้กับร้านนี้ได้เป็นอย่างดี จนอดไม่ได้ที่จะต้องถ่ายภาพแล้วแชร์ลงโซเชียล ร้านนี้จึงเหมาะกับการแวะมาทานอาหารทะเลอันเลื่องชื่อพร้อมชมวิวสวยๆ ของภูเก็ตไปพร้อมๆ กัน นอกจากบรรยากาศด้านนอกจะติดทะเลแล้ว ด้านในตกแต่งอย่างสวยงามไม่แพ้กัน โดยเน้นคอนเซ็ปต์ความใกล้ชิดธรรมชาติมากที่สุด ที่นี่จึงมีทั้งสระบัว สวนสวย สนามหญ้าสำหรับการจัดงานเลี้ยง และอนุรักษ์ความเป็นธรรมชาติด้วยหลังคามุงหญ้าแฝก โซนจัดเลี้ยงจึงมีให้เลือกทั้งแบบบรรยากาศริมทะเลและภายในสวนสวย เมนูที่เป็นไฮไลท์ของร้านก็คือ เบือทอด เบือคือสาหร่ายจากธรรมชาติ ที่นำไปชุปแป้งทอดกับกุ้งทานคู่กับน้ำจิ้ม เป็นเมนูทานเล่นที่อร่อยจริงจัง ถ้ามองหาอาหารจานหลักต้องเมนูอาหารทะเลเผา ที่มีทั้ง ปลา กุ้ง หมึกเผามาร้อนๆ ทานคู่น้ำจิ้มซีฟู้ดรสจัดจ้าน</t>
  </si>
  <si>
    <t xml:space="preserve">https://thailandtourismdirectory.go.th/th/restaurants/81390</t>
  </si>
  <si>
    <t xml:space="preserve">https://files.thailandtourismdirectory.go.th/assets/upload/2018/08/29/20180829cfcd208495d565ef66e7dff9f98764da151810.jpg</t>
  </si>
  <si>
    <t xml:space="preserve">ร้านอาหารเปลือย (เปลือย)</t>
  </si>
  <si>
    <t xml:space="preserve">กึ่งผับ/ร้านเหล้า/บาร์, อาหารไทย, อาหารจานเดียว/ตามสั่ง</t>
  </si>
  <si>
    <t xml:space="preserve">66 ถนน ชนะเจริญ ตำบล ตลาดใหญ่ อำเภอเมืองภูเก็ต ภูเก็ต 83000</t>
  </si>
  <si>
    <t xml:space="preserve">0945363561</t>
  </si>
  <si>
    <t xml:space="preserve">https://www.facebook.com/natcream2528/</t>
  </si>
  <si>
    <t xml:space="preserve">Mon 18:00-23:59; Tu 18:00-23:59; Thu 18:00-23:59; Fri 18:00-23:59; Sat 18:00-23:59; Sun 18:00-23:59</t>
  </si>
  <si>
    <t xml:space="preserve">ร้านอาหารเปลือย (เปลือย) 
ที่อยู่ 66 ถนน ชนะเจริญ ตำบล ตลาดใหญ่ อำเภอเมืองภูเก็ต ภูเก็ต 83000</t>
  </si>
  <si>
    <t xml:space="preserve">https://thailandtourismdirectory.go.th/th/restaurants/91435</t>
  </si>
  <si>
    <t xml:space="preserve">https://files.thailandtourismdirectory.go.th/assets/upload/2018/11/12/20181112c4ca4238a0b923820dcc509a6f75849b150954.jpg</t>
  </si>
  <si>
    <t xml:space="preserve">ลาบนัว ภูเก็ต</t>
  </si>
  <si>
    <t xml:space="preserve">080 263 6559</t>
  </si>
  <si>
    <t xml:space="preserve">https://www.facebook.com/K.Toffee0802636559/</t>
  </si>
  <si>
    <t xml:space="preserve">ลาบนัว ภูเก็ต 
ที่อยู่ ถนน วิรัชหงษ์หยก ตำบล รัษฎา อำเภอเมืองภูเก็ต ภูเก็ต 83000</t>
  </si>
  <si>
    <t xml:space="preserve">https://thailandtourismdirectory.go.th/th/restaurants/91983</t>
  </si>
  <si>
    <t xml:space="preserve">https://files.thailandtourismdirectory.go.th/assets/upload/2018/11/15/20181115c4ca4238a0b923820dcc509a6f75849b145300.jpg</t>
  </si>
  <si>
    <t xml:space="preserve">วัฒนะพล (Wattanapol)</t>
  </si>
  <si>
    <t xml:space="preserve">99 ถนน ปฏิพัทธิ์ ตำบล ตลาดเหนือ อำเภอเมืองภูเก็ต ภูเก็ต 83000</t>
  </si>
  <si>
    <t xml:space="preserve">076 234 567</t>
  </si>
  <si>
    <t xml:space="preserve">https://www.facebook.com/Currypuffpk/</t>
  </si>
  <si>
    <t xml:space="preserve">Mon 08:00-23:00; Tu 08:00-23:00; Wed 08:00-23:00; Thu 08:00-23:00; Fri 08:00-23:00; Sat 08:00-23:00; Sun 08:00-21:00</t>
  </si>
  <si>
    <t xml:space="preserve">วัฒนะพล (Wattanapol) 
ที่อยู่ 99 ถนน ปฏิพัทธิ์ ตำบล ตลาดเหนือ อำเภอเมืองภูเก็ต ภูเก็ต 83000</t>
  </si>
  <si>
    <t xml:space="preserve">https://thailandtourismdirectory.go.th/th/restaurants/91984</t>
  </si>
  <si>
    <t xml:space="preserve">https://files.thailandtourismdirectory.go.th/assets/upload/2018/11/15/20181115c4ca4238a0b923820dcc509a6f75849b145814.jpg</t>
  </si>
  <si>
    <t xml:space="preserve">วันจันทร์</t>
  </si>
  <si>
    <t xml:space="preserve">076 355 909</t>
  </si>
  <si>
    <t xml:space="preserve">https://www.facebook.com/OneChunPhuket/</t>
  </si>
  <si>
    <t xml:space="preserve">วันจันทร์ 
ที่อยู่ 2 ถนน ดีบุก ตำบล ตลาดใหญ่ อำเภอเมืองภูเก็ต ภูเก็ต 83000</t>
  </si>
  <si>
    <t xml:space="preserve">https://thailandtourismdirectory.go.th/th/restaurants/90804</t>
  </si>
  <si>
    <t xml:space="preserve">https://files.thailandtourismdirectory.go.th/assets/upload/2018/11/01/20181101c4ca4238a0b923820dcc509a6f75849b133630.jpg</t>
  </si>
  <si>
    <t xml:space="preserve">วัวไซต์ลาย Chillva Market</t>
  </si>
  <si>
    <t xml:space="preserve">087 386 9699</t>
  </si>
  <si>
    <t xml:space="preserve">https://www.facebook.com/WUASIZELAAI/</t>
  </si>
  <si>
    <t xml:space="preserve">Mon 17:30-23:00; Tu 17:30-23:00; Wed 17:30-23:00; Thu 17:30-23:00; Fri 17:30-23:00; Sat 17:30-23:00</t>
  </si>
  <si>
    <t xml:space="preserve">วัวไซต์ลาย Chillva Market 
ที่อยู่ ถนนเยาวราช ตำบล รัษฎา อำเภอเมืองภูเก็ต ภูเก็ต 83000</t>
  </si>
  <si>
    <t xml:space="preserve">https://thailandtourismdirectory.go.th/th/restaurants/91785</t>
  </si>
  <si>
    <t xml:space="preserve">https://files.thailandtourismdirectory.go.th/assets/upload/2018/11/14/20181114c4ca4238a0b923820dcc509a6f75849b142851.jpg</t>
  </si>
  <si>
    <t xml:space="preserve">วิทยา Brew Specialty Coffee</t>
  </si>
  <si>
    <t xml:space="preserve">https://www.facebook.com/WitthayaBrewSpecialtyCoffee/</t>
  </si>
  <si>
    <t xml:space="preserve">Tu 07:00-15:00; Wed 07:00-15:00; Thu 07:00-15:00; Fri 07:00-15:00; Sat 07:00-15:00; Sun 07:00-15:00</t>
  </si>
  <si>
    <t xml:space="preserve">วิทยา Brew Specialty Coffee 
ที่อยู่ 367/22 ถนนเยาวราช ตำบล ตลาดใหญ่ อำเภอเมืองภูเก็ต ภูเก็ต 83000</t>
  </si>
  <si>
    <t xml:space="preserve">https://thailandtourismdirectory.go.th/th/restaurants/90906</t>
  </si>
  <si>
    <t xml:space="preserve">https://files.thailandtourismdirectory.go.th/assets/upload/2018/11/05/20181105c4ca4238a0b923820dcc509a6f75849b134636.jpg</t>
  </si>
  <si>
    <t xml:space="preserve">วิวคาเฟ่ ภูเก็ต (View Café Phuket)</t>
  </si>
  <si>
    <t xml:space="preserve">ร้านกาแฟ/ชา, เบเกอรี/เค้ก, ของหวาน, กึ่งผับ/ร้านเหล้า/บาร์, เครื่องดื่ม/น้ำผลไม้/ชานมไข่มุก, อาหารนานาชาติ, คาเฟ่</t>
  </si>
  <si>
    <t xml:space="preserve">56/10</t>
  </si>
  <si>
    <t xml:space="preserve">83130</t>
  </si>
  <si>
    <t xml:space="preserve">081-451-4545</t>
  </si>
  <si>
    <t xml:space="preserve">viewcafephuket@gmail.com</t>
  </si>
  <si>
    <t xml:space="preserve">https://th-th.facebook.com/View-cafe-at-Phuket-1466271270093296/</t>
  </si>
  <si>
    <t xml:space="preserve">ร้านปิดวันจันทร์ที่ 2 ของเดือน</t>
  </si>
  <si>
    <t xml:space="preserve">มอเตอร์ไซด์, รถยนต์</t>
  </si>
  <si>
    <t xml:space="preserve">วิวคาเฟ่ (View Café Phuket) เป็นร้านคาเฟ่เล็กๆ ที่มีสามารถมองเห็นวิวแบบพาโนราม่าของอ่าวฉลองจังหวัดภูเก็ตได้ดีเชียว ได้ชื่อว่าเป็นร้านอาหารหลักร้อย แต่วิวดีถึงหลักล้าน.. สถานที่ตั้งของร้านตั้งอยู่บนเขาเรดาห์ ทางขึ้นสำนักสงฆ์ ป่าเทพธาโร เมนูของร้านมีหลากหลายอย่างให้เลือกรับประทาน ทั้งอาหาร เครื่องดื่ม ของหวาน อาหารไทยและอาหารนานาชาติ</t>
  </si>
  <si>
    <t xml:space="preserve">https://thailandtourismdirectory.go.th/th/restaurants/79994</t>
  </si>
  <si>
    <t xml:space="preserve">https://files.thailandtourismdirectory.go.th/assets/upload/2018/06/28/20180628d41d8cd98f00b204e9800998ecf8427e102852.jpg</t>
  </si>
  <si>
    <t xml:space="preserve">ศาลาลอยซีฟู้ด (SALALOY SEAFOOD)</t>
  </si>
  <si>
    <t xml:space="preserve">437 4233 ตำบล ราไวย์ อำเภอเมืองภูเก็ต ภูเก็ต 83100</t>
  </si>
  <si>
    <t xml:space="preserve">076613740 </t>
  </si>
  <si>
    <t xml:space="preserve">https://www.facebook.com/salaloyseafood/</t>
  </si>
  <si>
    <t xml:space="preserve">ศาลาลอยซีฟู้ด (SALALOY SEAFOOD)
ที่อยู่ 437 4233 ตำบล ราไวย์ อำเภอเมืองภูเก็ต ภูเก็ต 83100</t>
  </si>
  <si>
    <t xml:space="preserve">https://thailandtourismdirectory.go.th/th/restaurants/90883</t>
  </si>
  <si>
    <t xml:space="preserve">https://files.thailandtourismdirectory.go.th/assets/upload/2018/11/05/20181105c4ca4238a0b923820dcc509a6f75849b103418.jpg</t>
  </si>
  <si>
    <t xml:space="preserve">สถานีปลาเผา @ซิมจั่น</t>
  </si>
  <si>
    <t xml:space="preserve">095 265 2867</t>
  </si>
  <si>
    <t xml:space="preserve">https://www.facebook.com/Plaphao.phuket/</t>
  </si>
  <si>
    <t xml:space="preserve">สถานีปลาเผา @ซิมจั่น
ที่อยู่ 345 ถนนระนอง ตำบล ตลาดเหนือ อำเภอเมืองภูเก็ต ภูเก็ต 83000</t>
  </si>
  <si>
    <t xml:space="preserve">https://thailandtourismdirectory.go.th/th/restaurants/91790</t>
  </si>
  <si>
    <t xml:space="preserve">https://files.thailandtourismdirectory.go.th/assets/upload/2018/11/14/20181114c4ca4238a0b923820dcc509a6f75849b144458.jpg</t>
  </si>
  <si>
    <t xml:space="preserve">สยาม ซัปเปอร์คลับ</t>
  </si>
  <si>
    <t xml:space="preserve">อาหารทะเล, อาหารไทย, อาหารอเมริกัน</t>
  </si>
  <si>
    <t xml:space="preserve">Tinlay Pl, ตำบล เชิงทะเล อำเภอ ถลาง ภูเก็ต 83110</t>
  </si>
  <si>
    <t xml:space="preserve">076 270 936</t>
  </si>
  <si>
    <t xml:space="preserve">https://www.facebook.com/TheSiamSupperClub/</t>
  </si>
  <si>
    <t xml:space="preserve">สยาม ซัปเปอร์คลับ
ที่อยู่ Tinlay Pl, ตำบล เชิงทะเล อำเภอ ถลาง ภูเก็ต 83110</t>
  </si>
  <si>
    <t xml:space="preserve">https://thailandtourismdirectory.go.th/th/restaurants/91751</t>
  </si>
  <si>
    <t xml:space="preserve">https://files.thailandtourismdirectory.go.th/assets/upload/2018/11/14/20181114c4ca4238a0b923820dcc509a6f75849b102219.jpg</t>
  </si>
  <si>
    <t xml:space="preserve">สามกองน้ำเต้าหู้ ๒๕๓๘</t>
  </si>
  <si>
    <t xml:space="preserve">ของหวาน, อาหารคลีน/สลัด</t>
  </si>
  <si>
    <t xml:space="preserve">084-057-9199 </t>
  </si>
  <si>
    <t xml:space="preserve">https://www.facebook.com/samkongsoymilk/</t>
  </si>
  <si>
    <t xml:space="preserve">Mon 17:00-23:30; Tu 17:00-23:30; Wed 17:00-23:30; Fri 17:00-23:30; Sat 17:00-23:30; Sun 17:00-23:30</t>
  </si>
  <si>
    <t xml:space="preserve">สามกองน้ำเต้าหู้ ๒๕๓๘ 
ที่อยู่ ถนนเยาวราช ตำบล ตลาดใหญ่ อำเภอเมืองภูเก็ต ภูเก็ต 83000</t>
  </si>
  <si>
    <t xml:space="preserve">https://thailandtourismdirectory.go.th/th/restaurants/90825</t>
  </si>
  <si>
    <t xml:space="preserve">https://files.thailandtourismdirectory.go.th/assets/upload/2018/11/01/20181101c4ca4238a0b923820dcc509a6f75849b153507.jpg</t>
  </si>
  <si>
    <t xml:space="preserve">สเต๊กแก้มบุ๋ม</t>
  </si>
  <si>
    <t xml:space="preserve">ถนน เมืองทอง-เขาขาด ตำบล รัษฎา อำเภอเมืองภูเก็ต ภูเก็ต 83000</t>
  </si>
  <si>
    <t xml:space="preserve">086 971 7970</t>
  </si>
  <si>
    <t xml:space="preserve">https://www.facebook.com/stekkaembum/</t>
  </si>
  <si>
    <t xml:space="preserve">Mon 16:00-23:59; Tu 16:00-23:59; Wed 16:00-23:59; Thu 16:00-23:59; Fri 16:00-23:59; Sat 16:00-23:59</t>
  </si>
  <si>
    <t xml:space="preserve">สเต๊กแก้มบุ๋ม 
ที่อยู่ ถนน เมืองทอง-เขาขาด ตำบล รัษฎา อำเภอเมืองภูเก็ต ภูเก็ต 83000</t>
  </si>
  <si>
    <t xml:space="preserve">https://thailandtourismdirectory.go.th/th/restaurants/92096</t>
  </si>
  <si>
    <t xml:space="preserve">https://files.thailandtourismdirectory.go.th/assets/upload/2018/11/16/20181116c4ca4238a0b923820dcc509a6f75849b111845.jpg</t>
  </si>
  <si>
    <t xml:space="preserve">ส้มตำ ยำ เผา (Somtum Yum Pao)</t>
  </si>
  <si>
    <t xml:space="preserve">อาหารทะเล, อาหารอีสาน/ร้านส้มตำ, อาหารไทย</t>
  </si>
  <si>
    <t xml:space="preserve">2 ซอย พระบารมี 6 ตำบลป่าตอง อำเภอ กะทู้ ภูเก็ต 83150</t>
  </si>
  <si>
    <t xml:space="preserve">076 609 406</t>
  </si>
  <si>
    <t xml:space="preserve">https://www.facebook.com/Somtum-Yum-Pao-%E0%B8%AA%E0%B9%89%E0%B8%A1%E0%B8%95%E0%B8%B3-%E0%B8%A2%E0%B8%B3-%E0%B9%80%E0%B8%9C%E0%B8%B2-533418423492939/</t>
  </si>
  <si>
    <t xml:space="preserve">Sun 15:00-23:59; Mon 00:00-00:30; Mon 15:00-23:59; Tu 00:00-00:30; Tu 15:00-23:59; Wed 00:00-00:30; Wed 15:00-23:59; Thu 00:00-00:30; Thu 15:00-23:59; Fri 00:00-00:30; Fri 15:00-23:59; Sat 00:00-00:30; Sat 15:00-23:59; Sun 00:00-00:30</t>
  </si>
  <si>
    <t xml:space="preserve">ส้มตำ ยำ เผา (Somtum Yum Pao) 
ที่อยู่ 2 ซอย พระบารมี 6 ตำบลป่าตอง อำเภอ กะทู้ ภูเก็ต 83150</t>
  </si>
  <si>
    <t xml:space="preserve">https://thailandtourismdirectory.go.th/th/restaurants/90797</t>
  </si>
  <si>
    <t xml:space="preserve">https://files.thailandtourismdirectory.go.th/assets/upload/2018/11/01/20181101c4ca4238a0b923820dcc509a6f75849b113423.jpg</t>
  </si>
  <si>
    <t xml:space="preserve">ส้มตำพันล้าน (Som Tam Pun Lan)</t>
  </si>
  <si>
    <t xml:space="preserve">099 469 6493</t>
  </si>
  <si>
    <t xml:space="preserve">https://www.facebook.com/SomtamPhanLan/</t>
  </si>
  <si>
    <t xml:space="preserve">Mon 11:00-22:30; Tu 11:00-22:30; Wed 11:00-22:30; Thu 11:00-22:30; Fri 11:00-22:30; Sat 11:00-23:00</t>
  </si>
  <si>
    <t xml:space="preserve">ส้มตำพันล้าน (Som Tam Pun Lan) 
ที่อยู่ 4029 ตำบลป่าตอง อำเภอ กะทู้ ภูเก็ต 83150</t>
  </si>
  <si>
    <t xml:space="preserve">https://thailandtourismdirectory.go.th/th/restaurants/91409</t>
  </si>
  <si>
    <t xml:space="preserve">https://files.thailandtourismdirectory.go.th/assets/upload/2018/11/12/20181112c4ca4238a0b923820dcc509a6f75849b100336.jpg</t>
  </si>
  <si>
    <t xml:space="preserve">หนัง (สือ) ๒๕๒๑</t>
  </si>
  <si>
    <t xml:space="preserve">64 ถนน ถลาง ตำบล ตลาดใหญ่ อำเภอเมืองภูเก็ต ภูเก็ต 83000</t>
  </si>
  <si>
    <t xml:space="preserve">098 090 0657</t>
  </si>
  <si>
    <t xml:space="preserve">https://www.facebook.com/bookhemian/</t>
  </si>
  <si>
    <t xml:space="preserve">Mon 09:00-19:00; Tu 09:00-19:00; Wed 09:00-19:00; Thu 09:00-19:00; Fri 09:00-19:00; Sat 09:00-20:30; Sun 09:00-20:30</t>
  </si>
  <si>
    <t xml:space="preserve">หนัง (สือ) ๒๕๒๑ 
ที่อยู่ 64 ถนน ถลาง ตำบล ตลาดใหญ่ อำเภอเมืองภูเก็ต ภูเก็ต 83000</t>
  </si>
  <si>
    <t xml:space="preserve">https://thailandtourismdirectory.go.th/th/restaurants/90834</t>
  </si>
  <si>
    <t xml:space="preserve">https://files.thailandtourismdirectory.go.th/assets/upload/2018/11/02/20181102c4ca4238a0b923820dcc509a6f75849b090402.jpg</t>
  </si>
  <si>
    <t xml:space="preserve">หมอมูดง (Mor Mu Dong)</t>
  </si>
  <si>
    <t xml:space="preserve">076-282302 </t>
  </si>
  <si>
    <t xml:space="preserve">https://www.facebook.com/%E0%B8%A3%E0%B9%89%E0%B8%B2%E0%B8%99%E0%B8%AB%E0%B8%A1%E0%B8%AD%E0%B8%A1%E0%B8%B9%E0%B8%94%E0%B8%87-Mor-mudong-230231687016698/</t>
  </si>
  <si>
    <t xml:space="preserve">หมอมูดง (Mor Mu Dong) 
ที่อยู่ ซอย มุดง ตำบล ฉลอง อำเภอเมืองภูเก็ต ภูเก็ต 83000</t>
  </si>
  <si>
    <t xml:space="preserve">https://thailandtourismdirectory.go.th/th/restaurants/90800</t>
  </si>
  <si>
    <t xml:space="preserve">https://files.thailandtourismdirectory.go.th/assets/upload/2018/11/01/20181101c4ca4238a0b923820dcc509a6f75849b130855.jpg</t>
  </si>
  <si>
    <t xml:space="preserve">หมี่ โปเบี๋ยน (หมี่กะทู้)</t>
  </si>
  <si>
    <t xml:space="preserve">081 397 2057</t>
  </si>
  <si>
    <t xml:space="preserve">https://www.facebook.com/%E0%B8%A3%E0%B9%89%E0%B8%B2%E0%B8%99%E0%B8%AB%E0%B8%A1%E0%B8%B5%E0%B9%88%E0%B9%82%E0%B8%9B%E0%B9%8B%E0%B9%80%E0%B8%9A%E0%B8%B5%E0%B9%8B%E0%B8%A2%E0%B8%99-187038591329804/</t>
  </si>
  <si>
    <t xml:space="preserve">Mon 10:30-16:00; Tu 10:30-16:00; Wed 10:30-16:00; Thu 10:30-16:00; Fri 10:30-16:00; Sat 10:30-16:00; Sun 10:30-16:00</t>
  </si>
  <si>
    <t xml:space="preserve">หมี่ โปเบี๋ยน (หมี่กะทู้) 
ที่อยู่ 7/18 ซอย ดารา ตำบล กะทู้ อำเภอ กะทู้ ภูเก็ต 83120</t>
  </si>
  <si>
    <t xml:space="preserve">https://thailandtourismdirectory.go.th/th/restaurants/90853</t>
  </si>
  <si>
    <t xml:space="preserve">https://files.thailandtourismdirectory.go.th/assets/upload/2018/11/02/20181102c4ca4238a0b923820dcc509a6f75849b114817.jpg</t>
  </si>
  <si>
    <t xml:space="preserve">หมี่สมจิตต์</t>
  </si>
  <si>
    <t xml:space="preserve">081 693 7705</t>
  </si>
  <si>
    <t xml:space="preserve">https://www.facebook.com/%E0%B8%A3%E0%B9%89%E0%B8%B2%E0%B8%99%E0%B8%AB%E0%B8%A1%E0%B8%B5%E0%B9%88%E0%B8%AA%E0%B8%A1%E0%B8%88%E0%B8%B4%E0%B8%95%E0%B8%95%E0%B9%8C-%E0%B8%A7%E0%B8%87%E0%B9%80%E0%B8%A7%E0%B8%B5%E0%B8%A2%E0%B8%99%E0%B8%AB%E0%B8%AD%E0%B8%99%E0%B8%B2%E0%B8%AC%E0%B8%B4%E0%B8%81%E0%B8%B2-%E0%B9%80%E0%B8%88%E0%B9%89%E0%B8%B2%E0%B9%80%E0%B8%81%E0%B9%88%E0%B8%B2%E0%B8%AA%E0%B8%B9%E0%B8%95%E0%B8%A3100%E0%B8%9B%E0%B8%B5-120875888472433/</t>
  </si>
  <si>
    <t xml:space="preserve">Mon 08:00-17:00; Tu 08:00-17:00; Wed 08:00-17:00; Thu 08:00-17:00; Fri 08:00-17:00; Sat 08:00-17:00; Sun 08:00-17:00</t>
  </si>
  <si>
    <t xml:space="preserve">หมี่สมจิตต์ 
ที่อยู่ ถนน ภูเก็ต ตำบล ตลาดใหญ่ อำเภอเมืองภูเก็ต ภูเก็ต 83000</t>
  </si>
  <si>
    <t xml:space="preserve">https://thailandtourismdirectory.go.th/th/restaurants/90880</t>
  </si>
  <si>
    <t xml:space="preserve">https://files.thailandtourismdirectory.go.th/assets/upload/2018/11/05/20181105c4ca4238a0b923820dcc509a6f75849b095343.jpg</t>
  </si>
  <si>
    <t xml:space="preserve">หมี่อ่าวเก (Mee Ao Kae Noodle)</t>
  </si>
  <si>
    <t xml:space="preserve">72 ถนน พูนผล ตำบล ตลาดเหนือ อำเภอเมืองภูเก็ต ภูเก็ต 83000</t>
  </si>
  <si>
    <t xml:space="preserve">076 213 058</t>
  </si>
  <si>
    <t xml:space="preserve">https://www.facebook.com/aoukea/</t>
  </si>
  <si>
    <t xml:space="preserve">Mon 10:00-15:30; Tu 10:00-15:30; Wed 10:00-15:30; Thu 10:00-15:30; Fri 10:00-15:30; Sat 10:00-15:30; Sun 10:00-15:30</t>
  </si>
  <si>
    <t xml:space="preserve">หมี่อ่าวเก (Mee Ao Kae Noodle) 
ที่อยู่ 72 ถนน พูนผล ตำบล ตลาดเหนือ อำเภอเมืองภูเก็ต ภูเก็ต 83000</t>
  </si>
  <si>
    <t xml:space="preserve">https://thailandtourismdirectory.go.th/th/restaurants/90823</t>
  </si>
  <si>
    <t xml:space="preserve">https://files.thailandtourismdirectory.go.th/assets/upload/2018/11/01/20181101c4ca4238a0b923820dcc509a6f75849b152333.jpg</t>
  </si>
  <si>
    <t xml:space="preserve">หมี่โกล้าน</t>
  </si>
  <si>
    <t xml:space="preserve">ก๋วยเตี๋ยว, อาหารจีน, อาหารใต้</t>
  </si>
  <si>
    <t xml:space="preserve">28/1 (ถนนเยื่องที่ว่าการอำเภอ)</t>
  </si>
  <si>
    <t xml:space="preserve">Mon 10:30-16:00; Tu 10:30-16:00; Wed 10:30-16:00; Thu 10:30-16:00; Fri 10:30-16:00; Sat 10:30-16:00</t>
  </si>
  <si>
    <t xml:space="preserve">ปิดวันอาทิตย์ ปกติจะหมดเร็วมาก</t>
  </si>
  <si>
    <t xml:space="preserve">ถ้าร้านที่ใช้เส้นหมีทำเองคือสิ่งที่คุณตามหา คุณก็ไม่ควรพลาดที่จะไปกิน “หมี่โกล้าน” เส้นหมี่ฉบับกวางตุ้งทำเองที่อร่อยจนลืมปรุง
ร้านหมีโกล้านตั้งอยู่บนถนนสตูลไม่ไกลจากโรงเรียนปลูกปัญญามากนัก เป็นร้านหมีที่คนภูเก็ตรู้จักกันดี ที่ร้านจะทำเส้นเองเป็นเส้นหมี่ไข่ตำหรับกวางตุ้ง มีส่วนประกอบสำคัญคือไข่และแป้งสาลีทำให้เส้นที่ได้มีกลิ่น สี รสชาติที่มีเอกลักษณ์เฉพาะตัว เมื่อผ่านกรรมวิธีการต้ม ผัด ปรุงระดับชำนาญการชูรสเล็กน้อยด้วยมันหมูเจียว ทำให้ได้เป็นเมนูหมี่ที่ไม่ต้องพึ่งเครื่องปรุงใดๆ
หมีโกล้านมีเส้นให้เลือกทาน 2 แบบคือเส้นหมีเหลืองและเส้นใหญ่ สั่งได้ทั้งแบบน้ำ แบบแห้ง แบบผัดฮกเกี้ยนน้ำขลุกขลิก ผัดซีอิ้วและราดหน้า แต่มาที่นี่ทั้งทีขอแนะนำว่าให้สั่งเส้นหมีทำเองฉบับหมี่โกล้าน ถ้าสายมาตรฐานแนะนำให้สั่ง"หมี่น้ำ"หรือ"หมี่แห้ง" แต่ถ้าสายดาร์กที่อยากลิ้มลองรสชาติหมี่ผัดสไตส์ภูเก็ต เมนู"หมีผัด"หอมกลิ่นไหม้อ่อนๆคือคำตอบของคุณ
ปล.ที่นี้ยังมีเกียวหมูสูตรเด็ดที่ถ้าคุณอยากกินต้องไปก่อนเที่ยงและไม่ตรงกับวันพระเท่านั้น</t>
  </si>
  <si>
    <t xml:space="preserve">https://thailandtourismdirectory.go.th/th/restaurants/85583</t>
  </si>
  <si>
    <t xml:space="preserve">https://files.thailandtourismdirectory.go.th/assets/upload/2018/09/30/201809307e0079ca730d31932d5941a9b2cea054150913.JPG</t>
  </si>
  <si>
    <t xml:space="preserve">หมูกรอบทองคำ</t>
  </si>
  <si>
    <t xml:space="preserve">851129838</t>
  </si>
  <si>
    <t xml:space="preserve">https://www.facebook.com/mooklobtongcom/</t>
  </si>
  <si>
    <t xml:space="preserve">Mon 08:00-15:00; Tu 08:00-15:00; Thu 08:00-15:00; Fri 08:00-15:00; Sat 08:00-15:00; Sun 08:00-15:00</t>
  </si>
  <si>
    <t xml:space="preserve">หมูกรอบทองคำ 
ที่อยู่ 402 ตำบล ศรีสุนทร อำเภอ ถลาง ภูเก็ต 83110</t>
  </si>
  <si>
    <t xml:space="preserve">https://thailandtourismdirectory.go.th/th/restaurants/91432</t>
  </si>
  <si>
    <t xml:space="preserve">https://files.thailandtourismdirectory.go.th/assets/upload/2018/11/12/20181112c4ca4238a0b923820dcc509a6f75849b143919.jpg</t>
  </si>
  <si>
    <t xml:space="preserve">หมูกรอบภูเก็ต (จี้ฮอง)</t>
  </si>
  <si>
    <t xml:space="preserve">66 ถนน วิชิตสงคราม ตำบล รัษฎา อำเภอเมืองภูเก็ต ภูเก็ต 83000</t>
  </si>
  <si>
    <t xml:space="preserve">076 215 221</t>
  </si>
  <si>
    <t xml:space="preserve">https://www.facebook.com/phuket.crispy.pork/</t>
  </si>
  <si>
    <t xml:space="preserve">Mon 06:00-15:00; Tu 06:00-15:00; Wed 06:00-15:00; Thu 06:00-15:00; Fri 06:00-15:00; Sat 06:00-15:00; Sun 06:00-15:00</t>
  </si>
  <si>
    <t xml:space="preserve">หมูกรอบภูเก็ต (จี้ฮอง)
ที่อยู่ 66 ถนน วิชิตสงคราม ตำบล รัษฎา อำเภอเมืองภูเก็ต ภูเก็ต 83000</t>
  </si>
  <si>
    <t xml:space="preserve">https://thailandtourismdirectory.go.th/th/restaurants/90862</t>
  </si>
  <si>
    <t xml:space="preserve">https://files.thailandtourismdirectory.go.th/assets/upload/2018/11/02/20181102c4ca4238a0b923820dcc509a6f75849b143453.jpg</t>
  </si>
  <si>
    <t xml:space="preserve">หม่าม้า กะตะบีช</t>
  </si>
  <si>
    <t xml:space="preserve">177 ถนน โคกโตนด ตำบล กะรน อำเภอเมืองภูเก็ต ภูเก็ต 83100</t>
  </si>
  <si>
    <t xml:space="preserve">087 461 6355</t>
  </si>
  <si>
    <t xml:space="preserve">https://www.facebook.com/MamaRestaurantPhuket/</t>
  </si>
  <si>
    <t xml:space="preserve">หม่าม้า กะตะบีช
ที่อยู่ 177 ถนน โคกโตนด ตำบล กะรน อำเภอเมืองภูเก็ต ภูเก็ต 83100</t>
  </si>
  <si>
    <t xml:space="preserve">https://thailandtourismdirectory.go.th/th/restaurants/92980</t>
  </si>
  <si>
    <t xml:space="preserve">https://files.thailandtourismdirectory.go.th/assets/upload/2018/11/19/20181119c4ca4238a0b923820dcc509a6f75849b100314.jpg</t>
  </si>
  <si>
    <t xml:space="preserve">หยกหลี่ (Yoklee)</t>
  </si>
  <si>
    <t xml:space="preserve">45/9 ซอย ยอดเสน่ห์ 1 ตำบล ฉลอง อำเภอเมืองภูเก็ต ภูเก็ต 83000</t>
  </si>
  <si>
    <t xml:space="preserve">076381112</t>
  </si>
  <si>
    <t xml:space="preserve">https://www.facebook.com/yokliDimsum/</t>
  </si>
  <si>
    <t xml:space="preserve">หยกหลี่ (Yoklee) 
ที่อยู่ 45/9 ซอย ยอดเสน่ห์ 1 ตำบล ฉลอง อำเภอเมืองภูเก็ต ภูเก็ต 83000</t>
  </si>
  <si>
    <t xml:space="preserve">https://thailandtourismdirectory.go.th/th/restaurants/92091</t>
  </si>
  <si>
    <t xml:space="preserve">https://files.thailandtourismdirectory.go.th/assets/upload/2018/11/16/20181116c4ca4238a0b923820dcc509a6f75849b105718.jpg</t>
  </si>
  <si>
    <t xml:space="preserve">หวานละมุน</t>
  </si>
  <si>
    <t xml:space="preserve">092 673 1333</t>
  </si>
  <si>
    <t xml:space="preserve">https://www.facebook.com/%E0%B8%AB%E0%B8%A7%E0%B8%B2%E0%B8%99%E0%B8%A5%E0%B8%B0%E0%B8%A1%E0%B8%B8%E0%B8%99-%E0%B8%A0%E0%B8%B9%E0%B9%80%E0%B8%81%E0%B9%87%E0%B8%95-1142044532546930/</t>
  </si>
  <si>
    <t xml:space="preserve">Mon 11:30-23:00; Tu 11:30-23:00; Wed 11:30-23:00; Thu 11:30-23:00; Fri 11:30-23:00; Sat 11:30-23:00; Sun 11:30-23:00</t>
  </si>
  <si>
    <t xml:space="preserve">หวานละมุน 
ที่อยู่ ถนน ภูเก็ต ตำบล ตลาดใหญ่ อำเภอเมืองภูเก็ต ภูเก็ต 83000</t>
  </si>
  <si>
    <t xml:space="preserve">https://thailandtourismdirectory.go.th/th/restaurants/91194</t>
  </si>
  <si>
    <t xml:space="preserve">https://files.thailandtourismdirectory.go.th/assets/upload/2018/11/07/20181107c4ca4238a0b923820dcc509a6f75849b144902.jpg</t>
  </si>
  <si>
    <t xml:space="preserve">หอม หอม The Espresso Bar</t>
  </si>
  <si>
    <t xml:space="preserve">083 521 1142</t>
  </si>
  <si>
    <t xml:space="preserve">https://www.facebook.com/HormTheEspressoBar/</t>
  </si>
  <si>
    <t xml:space="preserve">Mon 17:00-19:00; Tu 17:00-19:00; Wed 17:00-19:00; Thu 17:00-19:00; Fri 17:00-19:00; Sat 17:00-19:00; Sun 17:00-19:00</t>
  </si>
  <si>
    <t xml:space="preserve">หอม หอม The Espresso Bar
ที่อยู่ ถนน ดีบุก ตำบล ตลาดใหญ่ อำเภอเมืองภูเก็ต ภูเก็ต 83000</t>
  </si>
  <si>
    <t xml:space="preserve">https://thailandtourismdirectory.go.th/th/restaurants/92976</t>
  </si>
  <si>
    <t xml:space="preserve">https://files.thailandtourismdirectory.go.th/assets/upload/2018/11/19/20181119c4ca4238a0b923820dcc509a6f75849b102221.jpg</t>
  </si>
  <si>
    <t xml:space="preserve">หอย 20++</t>
  </si>
  <si>
    <t xml:space="preserve">080 040 0733</t>
  </si>
  <si>
    <t xml:space="preserve">https://www.facebook.com/%E0%B8%A3%E0%B9%89%E0%B8%B2%E0%B8%99-%E0%B8%AB%E0%B8%AD%E0%B8%A220-376801212489982/</t>
  </si>
  <si>
    <t xml:space="preserve">หอย 20++ 
ที่อยู่ ถนน วิรัชหงษ์หยก ตำบล รัษฎา อำเภอเมืองภูเก็ต ภูเก็ต 83000</t>
  </si>
  <si>
    <t xml:space="preserve">https://thailandtourismdirectory.go.th/th/restaurants/91388</t>
  </si>
  <si>
    <t xml:space="preserve">https://files.thailandtourismdirectory.go.th/assets/upload/2018/11/09/20181109c4ca4238a0b923820dcc509a6f75849b152326.jpg</t>
  </si>
  <si>
    <t xml:space="preserve">หอยนางรมนายฟู (Hoy Nang Rom Nay Fu)</t>
  </si>
  <si>
    <t xml:space="preserve">086 948 6616</t>
  </si>
  <si>
    <t xml:space="preserve">https://www.facebook.com/%E0%B8%AB%E0%B8%AD%E0%B8%A2%E0%B8%99%E0%B8%B2%E0%B8%A2%E0%B8%9F%E0%B8%B9-822112111187473/</t>
  </si>
  <si>
    <t xml:space="preserve">หอยนางรมนายฟู (Hoy Nang Rom Nay Fu)
ที่อยู่ ถนน รัษฎานุสรณ์ ตำบล รัษฎา อำเภอเมืองภูเก็ต ภูเก็ต 83000</t>
  </si>
  <si>
    <t xml:space="preserve">https://thailandtourismdirectory.go.th/th/restaurants/91321</t>
  </si>
  <si>
    <t xml:space="preserve">https://files.thailandtourismdirectory.go.th/assets/upload/2018/11/09/20181109c4ca4238a0b923820dcc509a6f75849b101408.jpg</t>
  </si>
  <si>
    <t xml:space="preserve">หอยป้ายแดง</t>
  </si>
  <si>
    <t xml:space="preserve">090 879 2499</t>
  </si>
  <si>
    <t xml:space="preserve">https://www.facebook.com/HoyPaiDaengKathu/</t>
  </si>
  <si>
    <t xml:space="preserve">หอยป้ายแดง 
ที่อยู่ 4020 ตำบล กะทู้ อำเภอ กะทู้ ภูเก็ต 83120</t>
  </si>
  <si>
    <t xml:space="preserve">https://thailandtourismdirectory.go.th/th/restaurants/90828</t>
  </si>
  <si>
    <t xml:space="preserve">https://files.thailandtourismdirectory.go.th/assets/upload/2018/11/01/20181101c4ca4238a0b923820dcc509a6f75849b155502.jpg</t>
  </si>
  <si>
    <t xml:space="preserve">หอยเทพ ซีฟู้ด (Hoythep seafood)</t>
  </si>
  <si>
    <t xml:space="preserve">084 515 9969</t>
  </si>
  <si>
    <t xml:space="preserve">https://www.facebook.com/HoyThep/</t>
  </si>
  <si>
    <t xml:space="preserve">หอยเทพ ซีฟู้ด (Hoythep seafood) 
ที่อยู่ 4020 ตำบล กะทู้ อำเภอ กะทู้ ภูเก็ต 83120</t>
  </si>
  <si>
    <t xml:space="preserve">https://thailandtourismdirectory.go.th/th/restaurants/90894</t>
  </si>
  <si>
    <t xml:space="preserve">https://files.thailandtourismdirectory.go.th/assets/upload/2018/11/05/20181105c4ca4238a0b923820dcc509a6f75849b123032.jpg</t>
  </si>
  <si>
    <t xml:space="preserve">หอยแซ๊บ ซีฟู๊ด</t>
  </si>
  <si>
    <t xml:space="preserve">ถนน ศรีสุนทร ตำบล ศรีสุนทร อำเภอ ถลาง ภูเก็ต 83110</t>
  </si>
  <si>
    <t xml:space="preserve">086 271 2680</t>
  </si>
  <si>
    <t xml:space="preserve">https://www.facebook.com/hoyzabb/</t>
  </si>
  <si>
    <t xml:space="preserve">Mon 12:00-23:00; Wed 12:00-23:00; Thu 12:00-23:00; Fri 12:00-23:00; Sat 12:00-23:00; Sun 12:00-23:00</t>
  </si>
  <si>
    <t xml:space="preserve">หอยแซ๊บ ซีฟู๊ด 
ที่อยู่ ถนน ศรีสุนทร ตำบล ศรีสุนทร อำเภอ ถลาง ภูเก็ต 83110</t>
  </si>
  <si>
    <t xml:space="preserve">https://thailandtourismdirectory.go.th/th/restaurants/91206</t>
  </si>
  <si>
    <t xml:space="preserve">https://files.thailandtourismdirectory.go.th/assets/upload/2018/11/07/20181107c4ca4238a0b923820dcc509a6f75849b152503.jpg</t>
  </si>
  <si>
    <t xml:space="preserve">ห้องขนม</t>
  </si>
  <si>
    <t xml:space="preserve">45 ถนน กระ ตำบล ตลาดใหญ่ อำเภอเมืองภูเก็ต ภูเก็ต 83000</t>
  </si>
  <si>
    <t xml:space="preserve">080 697 0171</t>
  </si>
  <si>
    <t xml:space="preserve">https://www.facebook.com/HongKanombyBaanMai/</t>
  </si>
  <si>
    <t xml:space="preserve">ห้องขนม 
ที่อยู่ 45 ถนน กระ ตำบล ตลาดใหญ่ อำเภอเมืองภูเก็ต ภูเก็ต 83000</t>
  </si>
  <si>
    <t xml:space="preserve">https://thailandtourismdirectory.go.th/th/restaurants/91760</t>
  </si>
  <si>
    <t xml:space="preserve">https://files.thailandtourismdirectory.go.th/assets/upload/2018/11/14/20181114c4ca4238a0b923820dcc509a6f75849b105544.jpg</t>
  </si>
  <si>
    <t xml:space="preserve">อลันโภชนา (AlanPochana)</t>
  </si>
  <si>
    <t xml:space="preserve">อาหารมุสลิม/อิสลาม</t>
  </si>
  <si>
    <t xml:space="preserve">12 ถนน อ๋องซิมผ่าย ตำบล ตลาดใหญ่ อำเภอเมืองภูเก็ต ภูเก็ต 83000</t>
  </si>
  <si>
    <t xml:space="preserve">089 655 9060</t>
  </si>
  <si>
    <t xml:space="preserve">https://www.facebook.com/Alanpochana/</t>
  </si>
  <si>
    <t xml:space="preserve">Mon 07:30-21:30; Tu 07:30-21:30; Wed 07:30-21:30; Thu 07:30-21:30; Fri 07:30-21:30; Sat 07:30-21:30; Sun 07:30-21:30</t>
  </si>
  <si>
    <t xml:space="preserve">อลันโภชนา (AlanPochana) 
ที่อยู่ 12 ถนน อ๋องซิมผ่าย ตำบล ตลาดใหญ่ อำเภอเมืองภูเก็ต ภูเก็ต 83000</t>
  </si>
  <si>
    <t xml:space="preserve">https://thailandtourismdirectory.go.th/th/restaurants/92102</t>
  </si>
  <si>
    <t xml:space="preserve">https://files.thailandtourismdirectory.go.th/assets/upload/2018/11/16/201811166fd43e36ccc838a951966242426d0697133954.png</t>
  </si>
  <si>
    <t xml:space="preserve">อันวาเย็นตาโฟ</t>
  </si>
  <si>
    <t xml:space="preserve">ก๋วยเตี๋ยว, อาหารไทย, อาหารมุสลิม/อิสลาม</t>
  </si>
  <si>
    <t xml:space="preserve">120/5 ถนน พระบารมี ตำบลป่าตอง อำเภอ กะทู้ ภูเก็ต 83150</t>
  </si>
  <si>
    <t xml:space="preserve">076 689 459</t>
  </si>
  <si>
    <t xml:space="preserve">https://www.facebook.com/anwalookchinpla/</t>
  </si>
  <si>
    <t xml:space="preserve">Sun 17:00-23:59; Mon 00:00-05:00; Mon 17:00-23:59; Tu 00:00-05:00; Tu 17:00-23:59; Wed 00:00-05:00; Wed 17:00-23:59; Thu 00:00-05:00; Thu 17:00-23:59; Fri 00:00-05:00; Fri 17:00-23:59; Sat 00:00-05:00; Sat 17:00-23:59; Sun 00:00-05:00</t>
  </si>
  <si>
    <t xml:space="preserve">อันวาเย็นตาโฟ
ที่อยู่ 120/5 ถนน พระบารมี ตำบลป่าตอง อำเภอ กะทู้ ภูเก็ต 83150</t>
  </si>
  <si>
    <t xml:space="preserve">https://thailandtourismdirectory.go.th/th/restaurants/91282</t>
  </si>
  <si>
    <t xml:space="preserve">https://files.thailandtourismdirectory.go.th/assets/upload/2018/11/08/20181108c4ca4238a0b923820dcc509a6f75849b142136.jpg</t>
  </si>
  <si>
    <t xml:space="preserve">อันวาเย็นตาโฟ (anwayentafo)</t>
  </si>
  <si>
    <t xml:space="preserve">ซอย ติลกอุทิศ 2 ตำบล ตลาดใหญ่ อำเภอเมืองภูเก็ต ภูเก็ต 83000</t>
  </si>
  <si>
    <t xml:space="preserve">076 619 855</t>
  </si>
  <si>
    <t xml:space="preserve">https://www.facebook.com/anwayentafo/</t>
  </si>
  <si>
    <t xml:space="preserve">Mon 00:00-23:59; Tu 00:00-23:59; Wed 00:00-23:59; Thu 00:00-23:59; Fri 00:00-23:59; Sat 00:00-23:59; Sun 00:00-23:59</t>
  </si>
  <si>
    <t xml:space="preserve">อันวาเย็นตาโฟ (anwayentafo)
ที่อยู่ ซอย ติลกอุทิศ 2 ตำบล ตลาดใหญ่ อำเภอเมืองภูเก็ต ภูเก็ต 83000</t>
  </si>
  <si>
    <t xml:space="preserve">https://thailandtourismdirectory.go.th/th/restaurants/91395</t>
  </si>
  <si>
    <t xml:space="preserve">https://files.thailandtourismdirectory.go.th/assets/upload/2018/11/09/20181109c4ca4238a0b923820dcc509a6f75849b154721.jpg</t>
  </si>
  <si>
    <t xml:space="preserve">อิ่มดี ไก่ซุปเปอร์</t>
  </si>
  <si>
    <t xml:space="preserve">ถนน ชุมพร ตำบล ตลาดใหญ่ อำเภอเมืองภูเก็ต ภูเก็ต 83000</t>
  </si>
  <si>
    <t xml:space="preserve">087 888 7626</t>
  </si>
  <si>
    <t xml:space="preserve">https://www.facebook.com/%E0%B8%AD%E0%B8%B4%E0%B9%88%E0%B8%A1%E0%B8%94%E0%B8%B5-%E0%B9%84%E0%B8%81%E0%B9%88%E0%B8%8B%E0%B8%B8%E0%B8%9B%E0%B9%80%E0%B8%9B%E0%B8%AD%E0%B8%A3%E0%B9%8C-%E0%B8%A0%E0%B8%B9%E0%B9%80%E0%B8%81%E0%B9%87%E0%B8%95-%E0%B9%80%E0%B8%88%E0%B9%89%E0%B8%B2%E0%B9%80%E0%B8%81%E0%B9%88%E0%B8%B2-%E0%B9%84%E0%B8%A1%E0%B9%88%E0%B8%A1%E0%B8%B5%E0%B8%AA%E0%B8%B2%E0%B8%82%E0%B8%B2-157884394563188/</t>
  </si>
  <si>
    <t xml:space="preserve">อิ่มดี ไก่ซุปเปอร์ 
ที่อยู่ ถนน ชุมพร ตำบล ตลาดใหญ่ อำเภอเมืองภูเก็ต ภูเก็ต 83000</t>
  </si>
  <si>
    <t xml:space="preserve">https://thailandtourismdirectory.go.th/th/restaurants/90900</t>
  </si>
  <si>
    <t xml:space="preserve">https://files.thailandtourismdirectory.go.th/assets/upload/2018/11/05/20181105c4ca4238a0b923820dcc509a6f75849b130925.jpg</t>
  </si>
  <si>
    <t xml:space="preserve">อีสานลำเต้ย E-SAN LUM TOEY</t>
  </si>
  <si>
    <t xml:space="preserve">083 107 2122</t>
  </si>
  <si>
    <t xml:space="preserve">https://www.facebook.com/esanlumtoey/</t>
  </si>
  <si>
    <t xml:space="preserve">อีสานลำเต้ย E-SAN LUM TOEY 
ที่อยู่ ถนน บ้านดอน-เชิงทะเล ตำบล เชิงทะเล อำเภอ ถลาง ภูเก็ต 83110</t>
  </si>
  <si>
    <t xml:space="preserve">https://thailandtourismdirectory.go.th/th/restaurants/90886</t>
  </si>
  <si>
    <t xml:space="preserve">https://files.thailandtourismdirectory.go.th/assets/upload/2018/11/05/201811052b541eceea4f20a93fe74398a9ca1e80110413.png</t>
  </si>
  <si>
    <t xml:space="preserve">ฮกโหหลีโรสติ้ง (HOCK HOE LEE)</t>
  </si>
  <si>
    <t xml:space="preserve">4024 ตำบล ราไวย์ อำเภอเมืองภูเก็ต ภูเก็ต 83100</t>
  </si>
  <si>
    <t xml:space="preserve">081 907 8192</t>
  </si>
  <si>
    <t xml:space="preserve">https://www.facebook.com/hockhoeleephuket/</t>
  </si>
  <si>
    <t xml:space="preserve">ฮกโหหลีโรสติ้ง (HOCK HOE LEE) 
ทีอยู่ 4024 ตำบล ราไวย์ อำเภอเมืองภูเก็ต ภูเก็ต 83100</t>
  </si>
  <si>
    <t xml:space="preserve">https://thailandtourismdirectory.go.th/th/restaurants/91456</t>
  </si>
  <si>
    <t xml:space="preserve">https://files.thailandtourismdirectory.go.th/assets/upload/2018/11/13/20181113c4ca4238a0b923820dcc509a6f75849b100455.jpg</t>
  </si>
  <si>
    <t xml:space="preserve">ฮารุ (HARU)</t>
  </si>
  <si>
    <t xml:space="preserve">58 ถนน พูนผล ตำบล ตลาดเหนือ อำเภอเมืองภูเก็ต ภูเก็ต 83000</t>
  </si>
  <si>
    <t xml:space="preserve">086 786 8961</t>
  </si>
  <si>
    <t xml:space="preserve">https://www.facebook.com/%E0%B8%AE%E0%B8%B2%E0%B8%A3%E0%B8%B8-%E0%B8%AD%E0%B8%B2%E0%B8%AB%E0%B8%B2%E0%B8%A3%E0%B8%8D%E0%B8%B5%E0%B9%88%E0%B8%9B%E0%B8%B8%E0%B9%88%E0%B8%99-665746356810578/</t>
  </si>
  <si>
    <t xml:space="preserve">ฮารุ (HARU)
ที่อยู่ 58 ถนน พูนผล ตำบล ตลาดเหนือ อำเภอเมืองภูเก็ต ภูเก็ต 83000</t>
  </si>
  <si>
    <t xml:space="preserve">https://thailandtourismdirectory.go.th/th/restaurants/91242</t>
  </si>
  <si>
    <t xml:space="preserve">https://files.thailandtourismdirectory.go.th/assets/upload/2018/11/08/20181108c4ca4238a0b923820dcc509a6f75849b100451.jpg</t>
  </si>
  <si>
    <t xml:space="preserve">ฮาโตริ อาหารญี่ปุ่น</t>
  </si>
  <si>
    <t xml:space="preserve">095 427 5028</t>
  </si>
  <si>
    <t xml:space="preserve">https://www.facebook.com/%E0%B8%AE%E0%B8%B2%E0%B9%82%E0%B8%95%E0%B8%A3%E0%B8%B4-835546796499594/</t>
  </si>
  <si>
    <t xml:space="preserve">ฮาโตริ อาหารญี่ปุ่น
ที่อยู่ ถนนเยาวราช ตำบล ตลาดใหญ่ อำเภอเมืองภูเก็ต ภูเก็ต 83000</t>
  </si>
  <si>
    <t xml:space="preserve">https://thailandtourismdirectory.go.th/th/restaurants/91355</t>
  </si>
  <si>
    <t xml:space="preserve">https://files.thailandtourismdirectory.go.th/assets/upload/2018/11/09/20181109c4ca4238a0b923820dcc509a6f75849b131450.jpg</t>
  </si>
  <si>
    <t xml:space="preserve">ฮุน ติ่มซำนึ่งสด (Hoon Dimsum)</t>
  </si>
  <si>
    <t xml:space="preserve">อาหารเช้า, อาหารจีน, อาหารใต้</t>
  </si>
  <si>
    <t xml:space="preserve">4027 ตำบล ศรีสุนทร อำเภอ ถลาง ภูเก็ต 83110</t>
  </si>
  <si>
    <t xml:space="preserve">0649455659</t>
  </si>
  <si>
    <t xml:space="preserve">https://www.facebook.com/hoondimsum/</t>
  </si>
  <si>
    <t xml:space="preserve">Mon 06:00-13:00; Tu 06:00-13:00; Wed 06:00-13:00; Thu 06:00-13:00; Fri 06:00-13:00; Sat 06:00-13:00; Sun 06:00-13:00</t>
  </si>
  <si>
    <t xml:space="preserve">ฮุน ติ่มซำนึ่งสด (Hoon Dimsum) 
ที่อยู่ 4027 ตำบล ศรีสุนทร อำเภอ ถลาง ภูเก็ต 83110</t>
  </si>
  <si>
    <t xml:space="preserve">https://thailandtourismdirectory.go.th/th/restaurants/91454</t>
  </si>
  <si>
    <t xml:space="preserve">https://files.thailandtourismdirectory.go.th/assets/upload/2018/11/13/20181113c4ca4238a0b923820dcc509a6f75849b101549.jpg</t>
  </si>
  <si>
    <t xml:space="preserve">เกาเหลาซุปเปอร์ (Kao Lao Super)</t>
  </si>
  <si>
    <t xml:space="preserve">089-225-6424 </t>
  </si>
  <si>
    <t xml:space="preserve">https://www.facebook.com/Kaolaosuper/</t>
  </si>
  <si>
    <t xml:space="preserve">เกาเหลาซุปเปอร์ (Kao Lao Super) 
ที่อยู่ 367/22 ถนนเยาวราช ตำบล ตลาดใหญ่ อำเภอเมืองภูเก็ต ภูเก็ต 83000</t>
  </si>
  <si>
    <t xml:space="preserve">https://thailandtourismdirectory.go.th/th/restaurants/91307</t>
  </si>
  <si>
    <t xml:space="preserve">https://files.thailandtourismdirectory.go.th/assets/upload/2018/11/08/20181108c4ca4238a0b923820dcc509a6f75849b155459.jpg</t>
  </si>
  <si>
    <t xml:space="preserve">เก็ตโฮ่ คอฟฟี่ แอนด์ คิชเช่น</t>
  </si>
  <si>
    <t xml:space="preserve">55 ถนนวิชิตสงคราม ตำบล กะทู้ อำเภอ กะทู้ ภูเก็ต 83120</t>
  </si>
  <si>
    <t xml:space="preserve">081 536 4555</t>
  </si>
  <si>
    <t xml:space="preserve">https://www.facebook.com/kethocoffeeandkitchen/</t>
  </si>
  <si>
    <t xml:space="preserve">Mon 07:30-17:30; Tu 07:30-17:30; Wed 07:30-17:30; Thu 07:30-17:30; Fri 07:30-17:30; Sat 07:30-18:00; Sun 07:30-18:00</t>
  </si>
  <si>
    <t xml:space="preserve">เก็ตโฮ่ คอฟฟี่ แอนด์ คิชเช่น
ที่อยู่ 55 ถนนวิชิตสงคราม ตำบล กะทู้ อำเภอ กะทู้ ภูเก็ต 83120</t>
  </si>
  <si>
    <t xml:space="preserve">https://thailandtourismdirectory.go.th/th/restaurants/90902</t>
  </si>
  <si>
    <t xml:space="preserve">https://files.thailandtourismdirectory.go.th/assets/upload/2018/11/05/20181105c4ca4238a0b923820dcc509a6f75849b132531.jpg</t>
  </si>
  <si>
    <t xml:space="preserve">เก็ตโฮ่ ติ่มซำ</t>
  </si>
  <si>
    <t xml:space="preserve">https://www.facebook.com/kethodimsum/</t>
  </si>
  <si>
    <t xml:space="preserve">เก็ตโฮ่ ติ่มซำ
ที่อยู่ 55 ถนนวิชิตสงคราม ตำบล กะทู้ อำเภอ กะทู้ ภูเก็ต 83120</t>
  </si>
  <si>
    <t xml:space="preserve">https://thailandtourismdirectory.go.th/th/restaurants/90809</t>
  </si>
  <si>
    <t xml:space="preserve">https://files.thailandtourismdirectory.go.th/assets/upload/2018/11/01/20181101c4ca4238a0b923820dcc509a6f75849b141047.jpg</t>
  </si>
  <si>
    <t xml:space="preserve">เก๋าลัด (GaoLad Cafe And Restuarant)</t>
  </si>
  <si>
    <t xml:space="preserve">78 ถนนเยาวราช ตำบล ตลาดเหนือ อำเภอเมืองภูเก็ต ภูเก็ต 83000</t>
  </si>
  <si>
    <t xml:space="preserve">087 009 0280</t>
  </si>
  <si>
    <t xml:space="preserve">https://www.facebook.com/gaoladphuket/</t>
  </si>
  <si>
    <t xml:space="preserve">เก๋าลัด (GaoLad Cafe And Restuarant) 
ที่อยู่ 78 ถนนเยาวราช ตำบล ตลาดเหนือ อำเภอเมืองภูเก็ต ภูเก็ต 83000</t>
  </si>
  <si>
    <t xml:space="preserve">https://thailandtourismdirectory.go.th/th/restaurants/91315</t>
  </si>
  <si>
    <t xml:space="preserve">https://files.thailandtourismdirectory.go.th/assets/upload/2018/11/09/20181109c4ca4238a0b923820dcc509a6f75849b093533.jpg</t>
  </si>
  <si>
    <t xml:space="preserve">เคียวได (Kyodai)</t>
  </si>
  <si>
    <t xml:space="preserve">ซอย ศรีสุชาติขนส่ง ตำบล รัษฎา อำเภอเมืองภูเก็ต ภูเก็ต 83000</t>
  </si>
  <si>
    <t xml:space="preserve">081-618-6409</t>
  </si>
  <si>
    <t xml:space="preserve">https://www.facebook.com/%E0%B8%A3%E0%B9%89%E0%B8%B2%E0%B8%99%E0%B8%AD%E0%B8%B2%E0%B8%AB%E0%B8%B2%E0%B8%A3%E0%B8%8D%E0%B8%B5%E0%B9%88%E0%B8%9B%E0%B8%B8%E0%B9%88%E0%B8%99%E0%B9%80%E0%B8%84%E0%B8%B5%E0%B8%A2%E0%B8%A7%E0%B9%84%E0%B8%94-2030591213835713/</t>
  </si>
  <si>
    <t xml:space="preserve">Mon 10:30-15:00; Mon 17:00-22:00; Tu 10:30-15:00; Tu 17:00-22:00; Thu 10:30-17:00; Thu 17:00-22:00; Fri 10:30-15:00; Fri 17:00-22:00; Sun 10:30-22:00</t>
  </si>
  <si>
    <t xml:space="preserve">เคียวได (Kyodai) 
ที่อยู่ ซอย ศรีสุชาติขนส่ง ตำบล รัษฎา อำเภอเมืองภูเก็ต ภูเก็ต 83000</t>
  </si>
  <si>
    <t xml:space="preserve">https://thailandtourismdirectory.go.th/th/restaurants/91300</t>
  </si>
  <si>
    <t xml:space="preserve">https://files.thailandtourismdirectory.go.th/assets/upload/2018/11/08/20181108c4ca4238a0b923820dcc509a6f75849b152739.jpg</t>
  </si>
  <si>
    <t xml:space="preserve">เจ๋งโภชนา (ยำโหลแก้ว)</t>
  </si>
  <si>
    <t xml:space="preserve">65 วิชิตสงคราม ซอย 1 ตำบล ตลาดเหนือ อำเภอเมืองภูเก็ต ภูเก็ต 83000</t>
  </si>
  <si>
    <t xml:space="preserve">082-022-4319 </t>
  </si>
  <si>
    <t xml:space="preserve">https://www.facebook.com/%E0%B9%80%E0%B8%88%E0%B9%8B%E0%B8%87-%E0%B9%82%E0%B8%A0%E0%B8%8A%E0%B8%99%E0%B8%B2-%E0%B8%A2%E0%B8%B3%E0%B9%82%E0%B8%AB%E0%B8%A5%E0%B9%81%E0%B8%81%E0%B9%89%E0%B8%A7-346261925404305/</t>
  </si>
  <si>
    <t xml:space="preserve">เจ๋งโภชนา (ยำโหลแก้ว) 
ที่อยู่ 65 วิชิตสงคราม ซอย 1 ตำบล ตลาดเหนือ อำเภอเมืองภูเก็ต ภูเก็ต 83000</t>
  </si>
  <si>
    <t xml:space="preserve">https://thailandtourismdirectory.go.th/th/restaurants/91245</t>
  </si>
  <si>
    <t xml:space="preserve">https://files.thailandtourismdirectory.go.th/assets/upload/2018/11/08/20181108c4ca4238a0b923820dcc509a6f75849b101757.jpg</t>
  </si>
  <si>
    <t xml:space="preserve">เชอแตม</t>
  </si>
  <si>
    <t xml:space="preserve">Phang-Nga Rd, ตำบล ตลาดใหญ่ อำเภอเมืองภูเก็ต ภูเก็ต 83000</t>
  </si>
  <si>
    <t xml:space="preserve">076219103 </t>
  </si>
  <si>
    <t xml:space="preserve">https://www.facebook.com/%E0%B9%80%E0%B8%8A%E0%B8%AD%E0%B9%81%E0%B8%95%E0%B8%A1-%E0%B8%AD%E0%B8%B2%E0%B8%AB%E0%B8%B2%E0%B8%A3%E0%B9%80%E0%B8%A7%E0%B8%B5%E0%B8%A2%E0%B8%94%E0%B8%99%E0%B8%B2%E0%B8%A1-363353357200281/</t>
  </si>
  <si>
    <t xml:space="preserve">Mon 10:30-22:30; Tu 10:30-22:30; Wed 10:30-22:30; Thu 10:30-22:30; Fri 10:30-22:30; Sat 10:30-22:30; Sun 10:30-22:30</t>
  </si>
  <si>
    <t xml:space="preserve">เชอแตม 
ที่อยู่ Phang-Nga Rd, ตำบล ตลาดใหญ่ อำเภอเมืองภูเก็ต ภูเก็ต 83000</t>
  </si>
  <si>
    <t xml:space="preserve">https://thailandtourismdirectory.go.th/th/restaurants/90833</t>
  </si>
  <si>
    <t xml:space="preserve">https://files.thailandtourismdirectory.go.th/assets/upload/2018/11/02/20181102c4ca4238a0b923820dcc509a6f75849b085747.jpg</t>
  </si>
  <si>
    <t xml:space="preserve">เชิงเลโภชนา</t>
  </si>
  <si>
    <t xml:space="preserve">082 328 3082</t>
  </si>
  <si>
    <t xml:space="preserve">https://www.facebook.com/Sirikorn1989/</t>
  </si>
  <si>
    <t xml:space="preserve">เชิงเลโภชนา 
ที่อยู่ ถนน บ้านดอน-เชิงทะเล ตำบล เชิงทะเล อำเภอ ถลาง ภูเก็ต 83110</t>
  </si>
  <si>
    <t xml:space="preserve">https://thailandtourismdirectory.go.th/th/restaurants/91946</t>
  </si>
  <si>
    <t xml:space="preserve">https://files.thailandtourismdirectory.go.th/assets/upload/2018/11/15/20181115c4ca4238a0b923820dcc509a6f75849b114419.jpg</t>
  </si>
  <si>
    <t xml:space="preserve">เดอะ ฌาร์ม</t>
  </si>
  <si>
    <t xml:space="preserve">096 998 9244</t>
  </si>
  <si>
    <t xml:space="preserve">https://www.facebook.com/CharmDeebukPhuket/</t>
  </si>
  <si>
    <t xml:space="preserve">เดอะ ฌาร์ม
ที่อยู่ 91 ถนน ดีบุก ตำบล ตลาดเหนือ อำเภอเมืองภูเก็ต ภูเก็ต 83000</t>
  </si>
  <si>
    <t xml:space="preserve">https://thailandtourismdirectory.go.th/th/restaurants/91804</t>
  </si>
  <si>
    <t xml:space="preserve">https://files.thailandtourismdirectory.go.th/assets/upload/2018/11/14/20181114c4ca4238a0b923820dcc509a6f75849b152935.jpg</t>
  </si>
  <si>
    <t xml:space="preserve">เตี๋ยวเรือ 4 พระยา</t>
  </si>
  <si>
    <t xml:space="preserve">081-347-0042</t>
  </si>
  <si>
    <t xml:space="preserve">https://www.facebook.com/4prayanoodlesphuket/</t>
  </si>
  <si>
    <t xml:space="preserve">Mon 10:30-19:00; Tu 10:30-19:00; Wed 10:30-19:00; Thu 10:30-19:00; Fri 10:30-19:00; Sat 10:30-19:00; Sun 10:30-19:00</t>
  </si>
  <si>
    <t xml:space="preserve">เตี๋ยวเรือ 4 พระยา 
ที่อยู่ 9/99 ถนน ศักดิเดชน์ ซอย 1 ตำบล ตลาดเหนือ อำเภอเมืองภูเก็ต ภูเก็ต 83000</t>
  </si>
  <si>
    <t xml:space="preserve">https://thailandtourismdirectory.go.th/th/restaurants/91385</t>
  </si>
  <si>
    <t xml:space="preserve">https://files.thailandtourismdirectory.go.th/assets/upload/2018/11/09/20181109c4ca4238a0b923820dcc509a6f75849b151358.jpg</t>
  </si>
  <si>
    <t xml:space="preserve">เตี๋ยวเรือเส้นแซ่บ</t>
  </si>
  <si>
    <t xml:space="preserve">2 ถนน เยาวราช 1 ตำบล รัษฎา อำเภอเมืองภูเก็ต ภูเก็ต 83000</t>
  </si>
  <si>
    <t xml:space="preserve">081-143-1743 </t>
  </si>
  <si>
    <t xml:space="preserve">https://www.facebook.com/%E0%B9%80%E0%B8%95%E0%B8%B5%E0%B9%8B%E0%B8%A2%E0%B8%A7%E0%B9%80%E0%B8%A3%E0%B8%B7%E0%B8%AD-%E0%B9%80%E0%B8%AA%E0%B9%89%E0%B8%99%E0%B9%81%E0%B8%8B%E0%B9%88%E0%B8%9A-ZenZaab-Boat-Noodles-548442635277531/</t>
  </si>
  <si>
    <t xml:space="preserve">เตี๋ยวเรือเส้นแซ่บ 
ที่อยู่ 2 ถนน เยาวราช 1 ตำบล รัษฎา อำเภอเมืองภูเก็ต ภูเก็ต 83000</t>
  </si>
  <si>
    <t xml:space="preserve">https://thailandtourismdirectory.go.th/th/restaurants/91176</t>
  </si>
  <si>
    <t xml:space="preserve">https://files.thailandtourismdirectory.go.th/assets/upload/2018/11/07/20181107c4ca4238a0b923820dcc509a6f75849b135132.jpg</t>
  </si>
  <si>
    <t xml:space="preserve">เต้าซ้อแม่บุญธรรม</t>
  </si>
  <si>
    <t xml:space="preserve">076 355 667</t>
  </si>
  <si>
    <t xml:space="preserve">https://www.facebook.com/TaoSorMaeboonthamSamkong/</t>
  </si>
  <si>
    <t xml:space="preserve">เต้าซ้อแม่บุญธรรม 
ที่อยู่ ซอย หงษ์หยกอุทิศ ตำบล ตลาดใหญ่ อำเภอเมืองภูเก็ต ภูเก็ต 83000</t>
  </si>
  <si>
    <t xml:space="preserve">https://thailandtourismdirectory.go.th/th/restaurants/90908</t>
  </si>
  <si>
    <t xml:space="preserve">https://files.thailandtourismdirectory.go.th/assets/upload/2018/11/05/20181105c4ca4238a0b923820dcc509a6f75849b135043.jpg</t>
  </si>
  <si>
    <t xml:space="preserve">เพลินจิต</t>
  </si>
  <si>
    <t xml:space="preserve">081 536 1377</t>
  </si>
  <si>
    <t xml:space="preserve">https://www.facebook.com/ploenchitrama.2009/</t>
  </si>
  <si>
    <t xml:space="preserve">Sun 19:00-23:59; Mon 00:00-01:00; Mon 19:00-23:59; Tu 00:00-01:00; Tu 19:00-23:59; Wed 00:00-01:00; Wed 19:00-23:59; Thu 00:00-01:00; Thu 19:00-23:59; Fri 00:00-01:00; Fri 19:00-23:59; Sat 00:00-01:00; Sat 19:00-23:59; Sun 00:00-01:00</t>
  </si>
  <si>
    <t xml:space="preserve">เพลินจิต 
ที่อยู่ ถนน ชนะเจริญ ตำบล ตลาดใหญ่ อำเภอเมืองภูเก็ต ภูเก็ต 83000</t>
  </si>
  <si>
    <t xml:space="preserve">https://thailandtourismdirectory.go.th/th/restaurants/90929</t>
  </si>
  <si>
    <t xml:space="preserve">https://files.thailandtourismdirectory.go.th/assets/upload/2018/11/05/20181105c4ca4238a0b923820dcc509a6f75849b151132.jpg</t>
  </si>
  <si>
    <t xml:space="preserve">เพียงไพร</t>
  </si>
  <si>
    <t xml:space="preserve">อาหารไทย, อาหารฝรั่งเศส</t>
  </si>
  <si>
    <t xml:space="preserve">ตำบล ป่าคลอก อำเภอ ถลาง ภูเก็ต 83110</t>
  </si>
  <si>
    <t xml:space="preserve">085 832 7439</t>
  </si>
  <si>
    <t xml:space="preserve">https://www.facebook.com/Peang-prai-Restaurant-%E0%B8%A3%E0%B9%89%E0%B8%B2%E0%B8%99%E0%B8%AD%E0%B8%B2%E0%B8%AB%E0%B8%B2%E0%B8%A3%E0%B9%80%E0%B8%9E%E0%B8%B5%E0%B8%A2%E0%B8%87%E0%B9%84%E0%B8%9E%E0%B8%A3-276096919242514/</t>
  </si>
  <si>
    <t xml:space="preserve">Mon 08:00-20:00; Tu 08:00-20:00; Thu 08:00-20:00; Fri 08:00-20:00; Sat 08:00-20:00; Sun 08:00-20:00</t>
  </si>
  <si>
    <t xml:space="preserve">เพียงไพร
ที่อยู่ ตำบล ป่าคลอก อำเภอ ถลาง ภูเก็ต 83110</t>
  </si>
  <si>
    <t xml:space="preserve">https://thailandtourismdirectory.go.th/th/restaurants/90837</t>
  </si>
  <si>
    <t xml:space="preserve">https://files.thailandtourismdirectory.go.th/assets/upload/2018/11/02/20181102c4ca4238a0b923820dcc509a6f75849b093010.jpg</t>
  </si>
  <si>
    <t xml:space="preserve">เพ็ญเรสเทอร์รอง บาร์แอนด์ คอฟฟี่</t>
  </si>
  <si>
    <t xml:space="preserve">081 895 9489</t>
  </si>
  <si>
    <t xml:space="preserve">https://www.facebook.com/PhensRestaurant/</t>
  </si>
  <si>
    <t xml:space="preserve">เพ็ญเรสเทอร์รอง บาร์แอนด์ คอฟฟี่ 
ที่อยู่ ภก.4027 ตำบล สาคู อำเภอ ถลาง ภูเก็ต 83110</t>
  </si>
  <si>
    <t xml:space="preserve">https://thailandtourismdirectory.go.th/th/restaurants/92079</t>
  </si>
  <si>
    <t xml:space="preserve">https://files.thailandtourismdirectory.go.th/assets/upload/2018/11/16/20181116c4ca4238a0b923820dcc509a6f75849b085851.jpg</t>
  </si>
  <si>
    <t xml:space="preserve">เล้ง super แซ่บ</t>
  </si>
  <si>
    <t xml:space="preserve">081 884 2932</t>
  </si>
  <si>
    <t xml:space="preserve">https://www.facebook.com/leng.super.zab.phuket/</t>
  </si>
  <si>
    <t xml:space="preserve">เล้ง super แซ่บ 
ที่อยู่ ถนนเยาวราช ตำบล รัษฎา อำเภอเมืองภูเก็ต ภูเก็ต 83000</t>
  </si>
  <si>
    <t xml:space="preserve">https://thailandtourismdirectory.go.th/th/restaurants/91415</t>
  </si>
  <si>
    <t xml:space="preserve">https://files.thailandtourismdirectory.go.th/assets/upload/2018/11/12/20181112c4ca4238a0b923820dcc509a6f75849b105459.jpg</t>
  </si>
  <si>
    <t xml:space="preserve">เสวนาภูเก็ต (เสวนา)</t>
  </si>
  <si>
    <t xml:space="preserve">152 ถนน ถลาง ตำบล ตลาดใหญ่ อำเภอเมืองภูเก็ต ภูเก็ต 83000</t>
  </si>
  <si>
    <t xml:space="preserve">093 758 5656</t>
  </si>
  <si>
    <t xml:space="preserve">https://www.facebook.com/%E0%B9%80%E0%B8%AA%E0%B8%A7%E0%B8%99%E0%B8%B2-Sewana-1443308745902337/</t>
  </si>
  <si>
    <t xml:space="preserve">Sun 16:00-23:59; Mon 00:00-01:00; Mon 16:00-23:59; Tu 00:00-01:00; Tu 16:00-23:59; Wed 00:00-01:00; Wed 16:00-23:59; Thu 00:00-01:00; Thu 16:00-23:59; Fri 00:00-01:00; Fri 16:00-23:59; Sat 00:00-01:00; Sat 16:00-23:59; Sun 00:00-01:00</t>
  </si>
  <si>
    <t xml:space="preserve">เสวนาภูเก็ต (เสวนา) 
ที่อยู่ 152 ถนน ถลาง ตำบล ตลาดใหญ่ อำเภอเมืองภูเก็ต ภูเก็ต 83000</t>
  </si>
  <si>
    <t xml:space="preserve">https://thailandtourismdirectory.go.th/th/restaurants/91462</t>
  </si>
  <si>
    <t xml:space="preserve">https://files.thailandtourismdirectory.go.th/assets/upload/2018/11/13/20181113c4ca4238a0b923820dcc509a6f75849b113927.jpg</t>
  </si>
  <si>
    <t xml:space="preserve">เส้นสด (เส้นสด : ขนมจีนโบราณ สูตรอาม่าซ่วนสิ้ว)</t>
  </si>
  <si>
    <t xml:space="preserve">อาหารเช้า, อาหารไทย, อาหารใต้</t>
  </si>
  <si>
    <t xml:space="preserve">062 064 3303</t>
  </si>
  <si>
    <t xml:space="preserve">https://www.facebook.com/sensodkanomjean/</t>
  </si>
  <si>
    <t xml:space="preserve">Mon 07:30-17:30; Tu 07:30-17:30; Wed 07:30-17:30; Thu 07:30-17:30; Fri 07:30-17:30; Sat 07:30-17:30; Sun 07:30-17:30</t>
  </si>
  <si>
    <t xml:space="preserve">เส้นสด (เส้นสด : ขนมจีนโบราณ สูตรอาม่าซ่วนสิ้ว) 
ที่อยู่ ถนน เฉลิมพระเกียรติรัชกาล ที่ 9 ตำบล รัษฎา อำเภอเมืองภูเก็ต ภูเก็ต 83000</t>
  </si>
  <si>
    <t xml:space="preserve">https://thailandtourismdirectory.go.th/th/restaurants/91411</t>
  </si>
  <si>
    <t xml:space="preserve">https://files.thailandtourismdirectory.go.th/assets/upload/2018/11/12/20181112c4ca4238a0b923820dcc509a6f75849b102100.jpg</t>
  </si>
  <si>
    <t xml:space="preserve">เหยี่ยน สุกี้หม้อไฟจีน (Yian Suki)</t>
  </si>
  <si>
    <t xml:space="preserve">083 655 5320</t>
  </si>
  <si>
    <t xml:space="preserve">https://www.facebook.com/yanphuket/</t>
  </si>
  <si>
    <t xml:space="preserve">เหยี่ยน สุกี้หม้อไฟจีน (Yian Suki) 
ที่อยู่ ถนน วิรัชหงษ์หยก ตำบล รัษฎา อำเภอเมืองภูเก็ต ภูเก็ต 83000</t>
  </si>
  <si>
    <t xml:space="preserve">https://thailandtourismdirectory.go.th/th/restaurants/91333</t>
  </si>
  <si>
    <t xml:space="preserve">https://files.thailandtourismdirectory.go.th/assets/upload/2018/11/09/20181109c4ca4238a0b923820dcc509a6f75849b110300.jpg</t>
  </si>
  <si>
    <t xml:space="preserve">เอกชัยไก่อบ</t>
  </si>
  <si>
    <t xml:space="preserve">7919 ซอย กิมเหลียน ตำบล ตลาดเหนือ อำเภอเมืองภูเก็ต ภูเก็ต 83000</t>
  </si>
  <si>
    <t xml:space="preserve">092 292 4956</t>
  </si>
  <si>
    <t xml:space="preserve">https://www.facebook.com/AekachaikaiaobBannimoon/</t>
  </si>
  <si>
    <t xml:space="preserve">เอกชัยไก่อบ 
ที่อยู่ 7919 ซอย กิมเหลียน ตำบล ตลาดเหนือ อำเภอเมืองภูเก็ต ภูเก็ต 83000</t>
  </si>
  <si>
    <t xml:space="preserve">https://thailandtourismdirectory.go.th/th/restaurants/91359</t>
  </si>
  <si>
    <t xml:space="preserve">https://files.thailandtourismdirectory.go.th/assets/upload/2018/11/09/20181109c4ca4238a0b923820dcc509a6f75849b132448.jpg</t>
  </si>
  <si>
    <t xml:space="preserve">เอียวเล้ง ซุปเปอร์@ภูเก็ต</t>
  </si>
  <si>
    <t xml:space="preserve">064 060 7555</t>
  </si>
  <si>
    <t xml:space="preserve">https://www.facebook.com/%E0%B9%80%E0%B8%AD%E0%B8%B5%E0%B8%A2%E0%B8%A7%E0%B9%80%E0%B8%A5%E0%B9%89%E0%B8%87-%E0%B8%8B%E0%B8%B8%E0%B8%9B%E0%B9%80%E0%B8%9B%E0%B8%AD%E0%B8%A3%E0%B9%8C-%E0%B8%9B%E0%B9%89%E0%B8%B2%E0%B8%A2%E0%B9%81%E0%B8%94%E0%B8%87-%E0%B8%A0%E0%B8%B9%E0%B9%80%E0%B8%81%E0%B9%87%E0%B8%95-310238572743753/</t>
  </si>
  <si>
    <t xml:space="preserve">เอียวเล้ง ซุปเปอร์@ภูเก็ต 
ที่อยู่ ภก.3001 ตำบล รัษฎา อำเภอเมืองภูเก็ต ภูเก็ต 83000</t>
  </si>
  <si>
    <t xml:space="preserve">https://thailandtourismdirectory.go.th/th/restaurants/91331</t>
  </si>
  <si>
    <t xml:space="preserve">https://files.thailandtourismdirectory.go.th/assets/upload/2018/11/09/20181109c4ca4238a0b923820dcc509a6f75849b105837.jpg</t>
  </si>
  <si>
    <t xml:space="preserve">เฮง เฮง แต่เตี้ยม</t>
  </si>
  <si>
    <t xml:space="preserve">081-541-1855</t>
  </si>
  <si>
    <t xml:space="preserve">https://www.facebook.com/Oohengheng/</t>
  </si>
  <si>
    <t xml:space="preserve">เฮง เฮง แต่เตี้ยม 
ที่อยู่ 7919 ซอย กิมเหลียน ตำบล ตลาดเหนือ อำเภอเมืองภูเก็ต ภูเก็ต 83000</t>
  </si>
  <si>
    <t xml:space="preserve">https://thailandtourismdirectory.go.th/th/restaurants/90915</t>
  </si>
  <si>
    <t xml:space="preserve">https://files.thailandtourismdirectory.go.th/assets/upload/2018/11/05/20181105c4ca4238a0b923820dcc509a6f75849b142214.jpg</t>
  </si>
  <si>
    <t xml:space="preserve">เฮือนภูคำ (Hearnphucome)</t>
  </si>
  <si>
    <t xml:space="preserve">076 637 047</t>
  </si>
  <si>
    <t xml:space="preserve">https://www.facebook.com/Hearnphucomerestaurant/</t>
  </si>
  <si>
    <t xml:space="preserve">เฮือนภูคำ (Hearnphucome) 
ที่อยู่ ถนน วิรัชหงษ์หยก ตำบล รัษฎา อำเภอเมืองภูเก็ต ภูเก็ต 83000</t>
  </si>
  <si>
    <t xml:space="preserve">https://thailandtourismdirectory.go.th/th/restaurants/91482</t>
  </si>
  <si>
    <t xml:space="preserve">https://files.thailandtourismdirectory.go.th/assets/upload/2018/11/13/20181113c4ca4238a0b923820dcc509a6f75849b150118.jpg</t>
  </si>
  <si>
    <t xml:space="preserve">เฮือนภูเชียง</t>
  </si>
  <si>
    <t xml:space="preserve">อาหารเหนือ, อาหารไทย</t>
  </si>
  <si>
    <t xml:space="preserve">085 520 0660</t>
  </si>
  <si>
    <t xml:space="preserve">https://www.facebook.com/huenphuchiangphuket/</t>
  </si>
  <si>
    <t xml:space="preserve">Mon 11:30-21:00; Tu 11:30-21:00; Wed 11:30-21:00; Thu 11:30-21:00; Fri 11:30-21:00; Sat 11:30-21:00; Sun 11:30-21:00</t>
  </si>
  <si>
    <t xml:space="preserve">เฮือนภูเชียง
ที่อยู่ 4021 ตำบล ฉลอง อำเภอเมืองภูเก็ต ภูเก็ต 83000</t>
  </si>
  <si>
    <t xml:space="preserve">https://thailandtourismdirectory.go.th/th/restaurants/91406</t>
  </si>
  <si>
    <t xml:space="preserve">https://files.thailandtourismdirectory.go.th/assets/upload/2018/11/12/20181112c4ca4238a0b923820dcc509a6f75849b094031.jpg</t>
  </si>
  <si>
    <t xml:space="preserve">แก้วใจ เบเกอรี่ (Kaw Jai Bakery)</t>
  </si>
  <si>
    <t xml:space="preserve">154 ถนน พังงา ตำบล ตลาดใหญ่ อำเภอเมืองภูเก็ต ภูเก็ต 83000</t>
  </si>
  <si>
    <t xml:space="preserve">0850698115</t>
  </si>
  <si>
    <t xml:space="preserve">https://www.facebook.com/kaewjaiBakery/</t>
  </si>
  <si>
    <t xml:space="preserve">แก้วใจ เบเกอรี่ (Kaw Jai Bakery)
ที่อยู่ 154 ถนน พังงา ตำบล ตลาดใหญ่ อำเภอเมืองภูเก็ต ภูเก็ต 83000</t>
  </si>
  <si>
    <t xml:space="preserve">https://thailandtourismdirectory.go.th/th/restaurants/91391</t>
  </si>
  <si>
    <t xml:space="preserve">https://files.thailandtourismdirectory.go.th/assets/upload/2018/11/09/20181109c4ca4238a0b923820dcc509a6f75849b153249.jpg</t>
  </si>
  <si>
    <t xml:space="preserve">แซ่บสะดุ้ง (Zaab Sa Doong)</t>
  </si>
  <si>
    <t xml:space="preserve">ถนนโกมารภัจจ์ ตำบล ตลาดใหญ่ อำเภอเมืองภูเก็ต ภูเก็ต 83000</t>
  </si>
  <si>
    <t xml:space="preserve">089 473 9165</t>
  </si>
  <si>
    <t xml:space="preserve">https://www.facebook.com/zaabsadoong/</t>
  </si>
  <si>
    <t xml:space="preserve">แซ่บสะดุ้ง (Zaab Sa Doong)
ที่อยู่ ถนนโกมารภัจจ์ ตำบล ตลาดใหญ่ อำเภอเมืองภูเก็ต ภูเก็ต 83000</t>
  </si>
  <si>
    <t xml:space="preserve">https://thailandtourismdirectory.go.th/th/restaurants/91441</t>
  </si>
  <si>
    <t xml:space="preserve">https://files.thailandtourismdirectory.go.th/assets/upload/2018/11/12/20181112c4ca4238a0b923820dcc509a6f75849b160307.jpg</t>
  </si>
  <si>
    <t xml:space="preserve">แซ่บอีสานล้าน%</t>
  </si>
  <si>
    <t xml:space="preserve">15 พัฒนา ซอย 10 ตำบล ตลาดเหนือ อำเภอเมืองภูเก็ต ภูเก็ต 83000</t>
  </si>
  <si>
    <t xml:space="preserve">090 960 6483</t>
  </si>
  <si>
    <t xml:space="preserve">https://www.facebook.com/zaaapphuket/</t>
  </si>
  <si>
    <t xml:space="preserve">Mon 10:30-21:30; Tu 10:30-21:30; Wed 10:30-21:30; Fri 10:30-21:30; Sat 10:30-21:30; Sun 10:30-21:30</t>
  </si>
  <si>
    <t xml:space="preserve">แซ่บอีสานล้าน%
ที่อยู่ 15 พัฒนา ซอย 10 ตำบล ตลาดเหนือ อำเภอเมืองภูเก็ต ภูเก็ต 83000</t>
  </si>
  <si>
    <t xml:space="preserve">https://thailandtourismdirectory.go.th/th/restaurants/91484</t>
  </si>
  <si>
    <t xml:space="preserve">https://files.thailandtourismdirectory.go.th/assets/upload/2018/11/13/20181113c4ca4238a0b923820dcc509a6f75849b144043.jpg</t>
  </si>
  <si>
    <t xml:space="preserve">แพครูวิทย์</t>
  </si>
  <si>
    <t xml:space="preserve">ตำบล เกาะแก้ว อำเภอเมืองภูเก็ต ภูเก็ต</t>
  </si>
  <si>
    <t xml:space="preserve">081-088-0533 </t>
  </si>
  <si>
    <t xml:space="preserve">https://www.facebook.com/%E0%B9%81%E0%B8%9E%E0%B8%84%E0%B8%A3%E0%B8%B9%E0%B8%A7%E0%B8%B4%E0%B8%97%E0%B8%A2%E0%B9%8C-%E0%B8%9A%E0%B9%89%E0%B8%B2%E0%B8%99%E0%B9%81%E0%B8%AB%E0%B8%A5%E0%B8%A1%E0%B8%AB%E0%B8%B4%E0%B8%99-%E0%B8%A0%E0%B8%B9%E0%B9%80%E0%B8%81%E0%B9%87%E0%B8%95-1515072602145134/</t>
  </si>
  <si>
    <t xml:space="preserve">แพครูวิทย์ 
ที่อยู่ ตำบล เกาะแก้ว อำเภอเมืองภูเก็ต ภูเก็ต</t>
  </si>
  <si>
    <t xml:space="preserve">https://thailandtourismdirectory.go.th/th/restaurants/91470</t>
  </si>
  <si>
    <t xml:space="preserve">https://files.thailandtourismdirectory.go.th/assets/upload/2018/11/13/20181113c4ca4238a0b923820dcc509a6f75849b133337.jpg</t>
  </si>
  <si>
    <t xml:space="preserve">แม่พรซีฟู้ด</t>
  </si>
  <si>
    <t xml:space="preserve">เยาวราช ซอย 5 ตำบล ตลาดใหญ่ อำเภอเมืองภูเก็ต ภูเก็ต 83000</t>
  </si>
  <si>
    <t xml:space="preserve">089-7245429 </t>
  </si>
  <si>
    <t xml:space="preserve">https://www.facebook.com/maepornseafood/</t>
  </si>
  <si>
    <t xml:space="preserve">Sun 17:00-21:30; Mon 11:00-15:00; Mon 17:00-21:30; Tu 11:00-15:00; Tu 17:00-21:30; Wed 11:00-15:00; Wed 17:00-21:30; Thu 11:00-15:00; Thu 17:00-21:30; Fri 11:00-15:00; Fri 17:00-21:30; Sat 11:00-15:00; Sat 17:00-21:30; Sun 11:00-15:00</t>
  </si>
  <si>
    <t xml:space="preserve">แม่พรซีฟู้ด 
ที่อยู่ เยาวราช ซอย 5 ตำบล ตลาดใหญ่ อำเภอเมืองภูเก็ต ภูเก็ต 83000</t>
  </si>
  <si>
    <t xml:space="preserve">https://thailandtourismdirectory.go.th/th/restaurants/91250</t>
  </si>
  <si>
    <t xml:space="preserve">https://files.thailandtourismdirectory.go.th/assets/upload/2018/11/08/20181108c4ca4238a0b923820dcc509a6f75849b103912.jpg</t>
  </si>
  <si>
    <t xml:space="preserve">แรกพบ (AT FIRST SIGHT CAFE')</t>
  </si>
  <si>
    <t xml:space="preserve">076 540 676</t>
  </si>
  <si>
    <t xml:space="preserve">https://www.facebook.com/at1sight/</t>
  </si>
  <si>
    <t xml:space="preserve">Mon 08:00-17:30; Tu 08:00-17:30; Wed 08:00-17:30; Thu 08:00-17:30; Fri 08:00-17:30; Sat 08:00-17:30; Sun 08:00-17:30</t>
  </si>
  <si>
    <t xml:space="preserve">แรกพบ (AT FIRST SIGHT CAFE')
ที่อยู่ 402 ตำบล ไม้ขาว อำเภอ ถลาง ภูเก็ต 83110</t>
  </si>
  <si>
    <t xml:space="preserve">https://thailandtourismdirectory.go.th/th/restaurants/91373</t>
  </si>
  <si>
    <t xml:space="preserve">https://files.thailandtourismdirectory.go.th/assets/upload/2018/11/09/20181109c4ca4238a0b923820dcc509a6f75849b142535.jpg</t>
  </si>
  <si>
    <t xml:space="preserve">แหนมเนืองคุณอ้อ ภูเก็ต</t>
  </si>
  <si>
    <t xml:space="preserve">อาหารอีสาน/ร้านส้มตำ, อาหารเวียดนาม, อาหารจานเดียว/ตามสั่ง</t>
  </si>
  <si>
    <t xml:space="preserve">46 ถนน มนตรี ตำบล ตลาดใหญ่ อำเภอเมืองภูเก็ต ภูเก็ต 83000</t>
  </si>
  <si>
    <t xml:space="preserve">094 146 6632</t>
  </si>
  <si>
    <t xml:space="preserve">https://www.facebook.com/NaemnuengKhunOr2/</t>
  </si>
  <si>
    <t xml:space="preserve">Mon 10:30-21:00; Tu 10:30-21:00; Wed 10:30-21:00; Thu 10:30-21:00; Fri 10:30-21:00; Sat 10:30-21:00; Sun 10:30-21:00</t>
  </si>
  <si>
    <t xml:space="preserve">แหนมเนืองคุณอ้อ ภูเก็ต 
ที่อยู่ 46 ถนน มนตรี ตำบล ตลาดใหญ่ อำเภอเมืองภูเก็ต ภูเก็ต 83000</t>
  </si>
  <si>
    <t xml:space="preserve">https://thailandtourismdirectory.go.th/th/restaurants/91148</t>
  </si>
  <si>
    <t xml:space="preserve">https://files.thailandtourismdirectory.go.th/assets/upload/2018/11/07/20181107c4ca4238a0b923820dcc509a6f75849b104121.jpg</t>
  </si>
  <si>
    <t xml:space="preserve">แหลมพรหมเทพ</t>
  </si>
  <si>
    <t xml:space="preserve">076 288 656</t>
  </si>
  <si>
    <t xml:space="preserve">https://www.facebook.com/Phromthep-Cape-Restaurant-%E0%B8%A3%E0%B9%89%E0%B8%B2%E0%B8%99%E0%B8%AD%E0%B8%B2%E0%B8%AB%E0%B8%B2%E0%B8%A3%E0%B9%81%E0%B8%AB%E0%B8%A5%E0%B8%A1%E0%B8%9E%E0%B8%A3%E0%B8%AB%E0%B8%A1%E0%B9%80%E0%B8%97%E0%B8%9E-255280924537249/</t>
  </si>
  <si>
    <t xml:space="preserve">แหลมพรหมเทพ 
ที่อยู่ 4233 ตำบล ราไวย์ อำเภอเมืองภูเก็ต ภูเก็ต 83100</t>
  </si>
  <si>
    <t xml:space="preserve">https://thailandtourismdirectory.go.th/th/restaurants/90879</t>
  </si>
  <si>
    <t xml:space="preserve">https://files.thailandtourismdirectory.go.th/assets/upload/2018/11/05/20181105c4ca4238a0b923820dcc509a6f75849b093653.jpg</t>
  </si>
  <si>
    <t xml:space="preserve">แหลมหินซีฟู้ด</t>
  </si>
  <si>
    <t xml:space="preserve">อาหารทะเล, อาหารไทย, ร้านริมน้ำ</t>
  </si>
  <si>
    <t xml:space="preserve">065 252 3991</t>
  </si>
  <si>
    <t xml:space="preserve">https://www.facebook.com/laemhinseafoodphuket/</t>
  </si>
  <si>
    <t xml:space="preserve">แหลมหินซีฟู้ด 
ที่อยู่ ตำบล เกาะแก้ว อำเภอเมืองภูเก็ต ภูเก็ต 83000</t>
  </si>
  <si>
    <t xml:space="preserve">https://thailandtourismdirectory.go.th/th/restaurants/90806</t>
  </si>
  <si>
    <t xml:space="preserve">https://files.thailandtourismdirectory.go.th/assets/upload/2018/11/01/20181101c4ca4238a0b923820dcc509a6f75849b135057.jpg</t>
  </si>
  <si>
    <t xml:space="preserve">แอนนาภูเก็ต (แอนนาคาเฟ่ภูเก็ต)</t>
  </si>
  <si>
    <t xml:space="preserve">9 ถนน รัษฎา ตำบล ตลาดเหนือ อำเภอเมืองภูเก็ต ภูเก็ต 83000</t>
  </si>
  <si>
    <t xml:space="preserve">062 068 1999</t>
  </si>
  <si>
    <t xml:space="preserve">https://www.facebook.com/annasbrewhouse/</t>
  </si>
  <si>
    <t xml:space="preserve">แอนนาภูเก็ต (แอนนาคาเฟ่ภูเก็ต)
ที่อยู่ 9 ถนน รัษฎา ตำบล ตลาดเหนือ อำเภอเมืองภูเก็ต ภูเก็ต 83000</t>
  </si>
  <si>
    <t xml:space="preserve">https://thailandtourismdirectory.go.th/th/restaurants/91365</t>
  </si>
  <si>
    <t xml:space="preserve">https://files.thailandtourismdirectory.go.th/assets/upload/2018/11/09/20181109c4ca4238a0b923820dcc509a6f75849b135429.jpg</t>
  </si>
  <si>
    <t xml:space="preserve">โกปี้เตี่ยม</t>
  </si>
  <si>
    <t xml:space="preserve">083 606 9776</t>
  </si>
  <si>
    <t xml:space="preserve">https://www.facebook.com/kopitiambywilai/</t>
  </si>
  <si>
    <t xml:space="preserve">Mon 11:00-17:00; Mon 18:30-21:00; Tu 11:00-17:00; Tu 18:30-21:00; Wed 11:00-17:00; Wed 18:30-21:00; Thu 11:00-17:00; Thu 18:30-21:00; Fri 11:00-17:00; Fri 11:00-17:00; Fri 18:30-21:00; Fri 18:30-21:00</t>
  </si>
  <si>
    <t xml:space="preserve">โกปี้เตี่ยม 
ที่อยู่ 22 ถนน ถลาง ตำบล ตลาดใหญ่ อำเภอเมืองภูเก็ต ภูเก็ต 83000</t>
  </si>
  <si>
    <t xml:space="preserve">https://thailandtourismdirectory.go.th/th/restaurants/90831</t>
  </si>
  <si>
    <t xml:space="preserve">https://files.thailandtourismdirectory.go.th/assets/upload/2018/11/01/20181101c4ca4238a0b923820dcc509a6f75849b160850.jpg</t>
  </si>
  <si>
    <t xml:space="preserve">โกเบนซ์ ข้าวต้มแห้งภูเก็ต</t>
  </si>
  <si>
    <t xml:space="preserve">อาหารเช้า, ร้านข้าวต้ม</t>
  </si>
  <si>
    <t xml:space="preserve">118 ถนน กระบี่ ตำบล ตลาดเหนือ อำเภอเมืองภูเก็ต ภูเก็ต 83000</t>
  </si>
  <si>
    <t xml:space="preserve">090 702 2259</t>
  </si>
  <si>
    <t xml:space="preserve">https://www.facebook.com/GoBenzPhuket/</t>
  </si>
  <si>
    <t xml:space="preserve">Sun 19:00-23:59; Mon 00:00-03:00; Mon 19:00-23:59; Tu 00:00-03:00; Tu 19:00-23:59; Wed 00:00-03:00; Wed 19:00-23:59; Thu 00:00-03:00; Thu 19:00-23:59; Fri 00:00-03:00; Fri 19:00-23:59; Sat 00:00-03:00; Sat 19:00-23:59; Sat 19:00-23:59; Sun 00:00-03:00</t>
  </si>
  <si>
    <t xml:space="preserve">โกเบนซ์ ข้าวต้มแห้งภูเก็ต
ที่อยู่ 118 ถนน กระบี่ ตำบล ตลาดเหนือ อำเภอเมืองภูเก็ต ภูเก็ต 83000</t>
  </si>
  <si>
    <t xml:space="preserve">https://thailandtourismdirectory.go.th/th/restaurants/90802</t>
  </si>
  <si>
    <t xml:space="preserve">https://files.thailandtourismdirectory.go.th/assets/upload/2018/11/01/20181101c4ca4238a0b923820dcc509a6f75849b132242.jpg</t>
  </si>
  <si>
    <t xml:space="preserve">โกแบงค์ แซ่บอีสาน</t>
  </si>
  <si>
    <t xml:space="preserve">อาหารอีสาน/ร้านส้มตำ, อาหารไทย</t>
  </si>
  <si>
    <t xml:space="preserve">800 ดำรง ซอย 1 ตำบล ตลาดใหญ่ อำเภอเมืองภูเก็ต ภูเก็ต 83000</t>
  </si>
  <si>
    <t xml:space="preserve">0954169898</t>
  </si>
  <si>
    <t xml:space="preserve">https://www.facebook.com/%E0%B9%82%E0%B8%81%E0%B9%81%E0%B8%9A%E0%B8%87%E0%B8%84%E0%B9%8C-%E0%B9%81%E0%B8%8B%E0%B9%88%E0%B8%9A%E0%B8%AD%E0%B8%B4%E0%B8%AA%E0%B8%B2%E0%B8%99-196481703837465/</t>
  </si>
  <si>
    <t xml:space="preserve">Sun 14:00-23:59; Mon 00:00-01:30; Mon 14:00-23:59; Tu 00:00-01:30; Tu 14:00-23:59; Wed 00:00-01:30; Wed 14:00-23:59; Thu 00:00-01:30; Thu 14:00-23:59; Fri 00:00-01:30; Fri 14:00-23:59; Sat 00:00-01:30; Sat 14:00-23:59; Sun 00:00-01:30</t>
  </si>
  <si>
    <t xml:space="preserve">โกแบงค์ แซ่บอีสาน
ที่อยู่ 800 ดำรง ซอย 1 ตำบล ตลาดใหญ่ อำเภอเมืองภูเก็ต ภูเก็ต 83000</t>
  </si>
  <si>
    <t xml:space="preserve">https://thailandtourismdirectory.go.th/th/restaurants/90869</t>
  </si>
  <si>
    <t xml:space="preserve">https://files.thailandtourismdirectory.go.th/assets/upload/2018/11/02/20181102c4ca4238a0b923820dcc509a6f75849b151241.jpg</t>
  </si>
  <si>
    <t xml:space="preserve">โครตเซียน เบียร์วุ้น - หม้อไฟ</t>
  </si>
  <si>
    <t xml:space="preserve">9/3 ถนน ศักดิเดชน์ ตำบล ตลาดเหนือ อำเภอเมืองภูเก็ต ภูเก็ต 83000</t>
  </si>
  <si>
    <t xml:space="preserve">0818916644</t>
  </si>
  <si>
    <t xml:space="preserve">https://www.facebook.com/kokuphuket/</t>
  </si>
  <si>
    <t xml:space="preserve">โครตเซียน เบียร์วุ้น - หม้อไฟ
ที่อยู่ 9/3 ถนน ศักดิเดชน์ ตำบล ตลาดเหนือ อำเภอเมืองภูเก็ต ภูเก็ต 83000</t>
  </si>
  <si>
    <t xml:space="preserve">https://thailandtourismdirectory.go.th/th/restaurants/91372</t>
  </si>
  <si>
    <t xml:space="preserve">https://files.thailandtourismdirectory.go.th/assets/upload/2018/11/09/201811092ba010e9cc5845c3609c019920d0b0dc142004.png</t>
  </si>
  <si>
    <t xml:space="preserve">โจ๊กหน้าหม้อ (Jokenamor)</t>
  </si>
  <si>
    <t xml:space="preserve">ซอย สุขะโต ตำบล รัษฎา อำเภอเมืองภูเก็ต ภูเก็ต 83000</t>
  </si>
  <si>
    <t xml:space="preserve">092 552 0015</t>
  </si>
  <si>
    <t xml:space="preserve">https://www.facebook.com/jokenamor/</t>
  </si>
  <si>
    <t xml:space="preserve">โจ๊กหน้าหม้อ (Jokenamor)
ที่อยู่ ซอย สุขะโต ตำบล รัษฎา อำเภอเมืองภูเก็ต ภูเก็ต 83000</t>
  </si>
  <si>
    <t xml:space="preserve">https://thailandtourismdirectory.go.th/th/restaurants/91367</t>
  </si>
  <si>
    <t xml:space="preserve">https://files.thailandtourismdirectory.go.th/assets/upload/2018/11/09/20181109c4ca4238a0b923820dcc509a6f75849b140421.jpg</t>
  </si>
  <si>
    <t xml:space="preserve">โรตีหัวมุม</t>
  </si>
  <si>
    <t xml:space="preserve">ร้านกาแฟ/ชา, ของหวาน, อาหารมุสลิม/อิสลาม</t>
  </si>
  <si>
    <t xml:space="preserve">082 315 3311</t>
  </si>
  <si>
    <t xml:space="preserve">https://www.facebook.com/huamoom/</t>
  </si>
  <si>
    <t xml:space="preserve">โรตีหัวมุม
ที่อยู่ 14 ซอย พะเนียง 4 ตำบล รัษฎา อำเภอเมืองภูเก็ต ภูเก็ต 83000</t>
  </si>
  <si>
    <t xml:space="preserve">https://thailandtourismdirectory.go.th/th/restaurants/91219</t>
  </si>
  <si>
    <t xml:space="preserve">https://files.thailandtourismdirectory.go.th/assets/upload/2018/11/07/20181107c4ca4238a0b923820dcc509a6f75849b160948.jpg</t>
  </si>
  <si>
    <t xml:space="preserve">โรตีเจ้าฟ้า (Roti Chao Fah)</t>
  </si>
  <si>
    <t xml:space="preserve">076-221-771 </t>
  </si>
  <si>
    <t xml:space="preserve">https://www.facebook.com/RotiChaofaPhuket/</t>
  </si>
  <si>
    <t xml:space="preserve">โรตีเจ้าฟ้า (Roti Chao Fah)
ที่อยู่ 104 ถนนพัฒนา ตำบล ตลาดเหนือ อำเภอเมืองภูเก็ต ภูเก็ต 83000</t>
  </si>
  <si>
    <t xml:space="preserve">https://thailandtourismdirectory.go.th/th/restaurants/90818</t>
  </si>
  <si>
    <t xml:space="preserve">https://files.thailandtourismdirectory.go.th/assets/upload/2018/11/01/20181101c4ca4238a0b923820dcc509a6f75849b145603.jpg</t>
  </si>
  <si>
    <t xml:space="preserve">โลบะจี้กุ่ย</t>
  </si>
  <si>
    <t xml:space="preserve">อาหารจีน, อาหารใต้, อาหารจานเดียว/ตามสั่ง</t>
  </si>
  <si>
    <t xml:space="preserve">095 038 5955</t>
  </si>
  <si>
    <t xml:space="preserve">https://www.facebook.com/Lobajeekui/</t>
  </si>
  <si>
    <t xml:space="preserve">Mon 11:00-16:30; Tu 11:00-16:30; Wed 11:00-16:30; Thu 11:00-16:30; Fri 11:00-16:30; Sat 11:00-16:30; Sun 11:00-16:30</t>
  </si>
  <si>
    <t xml:space="preserve">โลบะจี้กุ่ย
ที่อยู่ 10 ถนนพัฒนา ตำบล ตลาดเหนือ อำเภอเมืองภูเก็ต ภูเก็ต 83000</t>
  </si>
  <si>
    <t xml:space="preserve">https://thailandtourismdirectory.go.th/th/restaurants/91143</t>
  </si>
  <si>
    <t xml:space="preserve">https://files.thailandtourismdirectory.go.th/assets/upload/2018/11/07/20181107c4ca4238a0b923820dcc509a6f75849b102648.jpg</t>
  </si>
  <si>
    <t xml:space="preserve">โอซาก้า ชาบู บุฟเฟ่ต์</t>
  </si>
  <si>
    <t xml:space="preserve">https://www.facebook.com/OSAKABUFFETPHUKET/</t>
  </si>
  <si>
    <t xml:space="preserve">โอซาก้า ชาบู บุฟเฟ่ต์ 
ที่อยู่ ซอยเพซรงาม ตำบล ตลาดเหนือ อำเภอเมืองภูเก็ต ภูเก็ต 83000</t>
  </si>
  <si>
    <t xml:space="preserve">https://thailandtourismdirectory.go.th/th/restaurants/91738</t>
  </si>
  <si>
    <t xml:space="preserve">https://files.thailandtourismdirectory.go.th/assets/upload/2018/11/14/20181114c4ca4238a0b923820dcc509a6f75849b090919.jpg</t>
  </si>
  <si>
    <t xml:space="preserve">ใต่ตงคาเฟ่ (Taitong Cafe)</t>
  </si>
  <si>
    <t xml:space="preserve">58 ถนน ถลาง ตำบล ตลาดใหญ่ อำเภอเมืองภูเก็ต ภูเก็ต 83000</t>
  </si>
  <si>
    <t xml:space="preserve">081 894 3199</t>
  </si>
  <si>
    <t xml:space="preserve">https://www.facebook.com/TaitongCafe/</t>
  </si>
  <si>
    <t xml:space="preserve">Mon 08:00-18:00; Tu 08:00-18:00; Wed 08:00-18:00; Thu 08:00-18:00; Fri 08:00-18:00; Sat 08:00-18:00; Sun 08:00-20:30</t>
  </si>
  <si>
    <t xml:space="preserve">ใต่ตงคาเฟ่ (Taitong Cafe) 
ที่อยู่ 58 ถนน ถลาง ตำบล ตลาดใหญ่ อำเภอเมืองภูเก็ต ภูเก็ต 83000</t>
  </si>
  <si>
    <t xml:space="preserve">https://thailandtourismdirectory.go.th/th/restaurants/91970</t>
  </si>
  <si>
    <t xml:space="preserve">https://files.thailandtourismdirectory.go.th/assets/upload/2018/11/15/20181115c4ca4238a0b923820dcc509a6f75849b135620.jpg</t>
  </si>
  <si>
    <t xml:space="preserve">ไชโยซีฟู้ด</t>
  </si>
  <si>
    <t xml:space="preserve">อาหารทะเล, อาหารใต้, ร้านริมน้ำ</t>
  </si>
  <si>
    <t xml:space="preserve">076 393 142</t>
  </si>
  <si>
    <t xml:space="preserve">https://www.facebook.com/chaiyoseafoodphuket/</t>
  </si>
  <si>
    <t xml:space="preserve">ไชโยซีฟู้ด 
ที่อยู่ ถนน เมืองทอง-เขาขาด ตำบล รัษฎา อำเภอเมืองภูเก็ต ภูเก็ต 83000</t>
  </si>
  <si>
    <t xml:space="preserve">https://thailandtourismdirectory.go.th/th/restaurants/90917</t>
  </si>
  <si>
    <t xml:space="preserve">https://files.thailandtourismdirectory.go.th/assets/upload/2018/11/05/20181105c4ca4238a0b923820dcc509a6f75849b142757.jpg</t>
  </si>
  <si>
    <t xml:space="preserve">ไท่ หงษ์ โหลว</t>
  </si>
  <si>
    <t xml:space="preserve">55 ซอย นิมิต 1 ตำบล ตลาดใหญ่ อำเภอเมืองภูเก็ต ภูเก็ต 83000</t>
  </si>
  <si>
    <t xml:space="preserve">063 091 9190</t>
  </si>
  <si>
    <t xml:space="preserve">https://www.facebook.com/TaiHongLou/</t>
  </si>
  <si>
    <t xml:space="preserve">Mon 11:00-14:00; Mon 17:00-22:00; Tu 11:00-14:00; Tu 17:00-22:00; Wed 11:00-14:00; Wed 17:00-22:00; Thu 11:00-14:00; Thu 17:00-22:00; Fri 11:00-14:00; Fri 17:00-22:00; Sat 11:00-22:00; Sun 11:00-22:00</t>
  </si>
  <si>
    <t xml:space="preserve">ไท่ หงษ์ โหลว 
ที่อยู่ 55 ซอย นิมิต 1 ตำบล ตลาดใหญ่ อำเภอเมืองภูเก็ต ภูเก็ต 83000</t>
  </si>
  <si>
    <t xml:space="preserve">https://thailandtourismdirectory.go.th/th/restaurants/91807</t>
  </si>
  <si>
    <t xml:space="preserve">https://files.thailandtourismdirectory.go.th/assets/upload/2018/11/14/20181114c4ca4238a0b923820dcc509a6f75849b154029.jpg</t>
  </si>
  <si>
    <t xml:space="preserve">ไม้หมอน (Maimorn)</t>
  </si>
  <si>
    <t xml:space="preserve">076 211 208</t>
  </si>
  <si>
    <t xml:space="preserve">https://www.facebook.com/maimornseafoodpguket/</t>
  </si>
  <si>
    <t xml:space="preserve">Sun 17:00-23:59; Mon 00:00-01:30; Mon 17:00-23:59; Tu 00:00-01:30; Tu 17:00-23:59; Wed 00:00-01:30; Wed 17:00-23:59; Thu 00:00-01:30; Thu 17:00-23:59; Fri 00:00-01:30; Fri 17:00-23:59; Sat 00:00-01:30; Sat 17:00-23:59; Sun 00:00-01:30</t>
  </si>
  <si>
    <t xml:space="preserve">ไม้หมอน (Maimorn) 
ที่อยู่ ถนน พังงา ตำบล ตลาดใหญ่ อำเภอเมืองภูเก็ต ภูเก็ต 83000</t>
  </si>
  <si>
    <t xml:space="preserve">https://thailandtourismdirectory.go.th/th/restaurants/91173</t>
  </si>
  <si>
    <t xml:space="preserve">https://files.thailandtourismdirectory.go.th/assets/upload/2018/11/07/20181107c4ca4238a0b923820dcc509a6f75849b131842.jpg</t>
  </si>
  <si>
    <t xml:space="preserve">Phuket Restaurants — Thailand Tourism Directory</t>
  </si>
  <si>
    <t xml:space="preserve">Source: thailandtourismdirectory.go.th (API v2 maininfo/search, MainTypeID=6, ProvinceCode=83). Scraped: 2026-07-13</t>
  </si>
  <si>
    <t xml:space="preserve">Total restaurants</t>
  </si>
  <si>
    <t xml:space="preserve">By price range</t>
  </si>
  <si>
    <t xml:space="preserve">Top districts</t>
  </si>
  <si>
    <t xml:space="preserve">With phone/mobile</t>
  </si>
  <si>
    <t xml:space="preserve">With Facebook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</si>
</sst>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48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6" min="15" style="0" width="10"/>
    <col collapsed="false" customWidth="true" hidden="false" outlineLevel="0" max="18" min="17" style="0" width="14"/>
    <col collapsed="false" customWidth="true" hidden="false" outlineLevel="0" max="19" min="19" style="0" width="22"/>
    <col collapsed="false" customWidth="true" hidden="false" outlineLevel="0" max="20" min="20" style="0" width="26"/>
    <col collapsed="false" customWidth="true" hidden="false" outlineLevel="0" max="21" min="21" style="0" width="30"/>
    <col collapsed="false" customWidth="true" hidden="false" outlineLevel="0" max="22" min="22" style="0" width="14"/>
    <col collapsed="false" customWidth="true" hidden="false" outlineLevel="0" max="23" min="23" style="0" width="45"/>
    <col collapsed="false" customWidth="true" hidden="false" outlineLevel="0" max="24" min="24" style="0" width="18"/>
    <col collapsed="false" customWidth="true" hidden="false" outlineLevel="0" max="25" min="25" style="0" width="14"/>
    <col collapsed="false" customWidth="true" hidden="false" outlineLevel="0" max="26" min="26" style="0" width="50"/>
    <col collapsed="false" customWidth="true" hidden="false" outlineLevel="0" max="27" min="27" style="0" width="8"/>
    <col collapsed="false" customWidth="true" hidden="false" outlineLevel="0" max="28" min="28" style="0" width="22"/>
    <col collapsed="false" customWidth="true" hidden="false" outlineLevel="0" max="29" min="29" style="0" width="7"/>
    <col collapsed="false" customWidth="true" hidden="false" outlineLevel="0" max="30" min="30" style="0" width="10"/>
    <col collapsed="false" customWidth="true" hidden="false" outlineLevel="0" max="31" min="31" style="0" width="8"/>
    <col collapsed="false" customWidth="true" hidden="false" outlineLevel="0" max="32" min="32" style="0" width="11"/>
    <col collapsed="false" customWidth="true" hidden="false" outlineLevel="0" max="33" min="33" style="0" width="42"/>
    <col collapsed="false" customWidth="true" hidden="false" outlineLevel="0" max="34" min="34" style="0" width="30"/>
    <col collapsed="false" customWidth="true" hidden="false" outlineLevel="0" max="35" min="35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5" hidden="false" customHeight="false" outlineLevel="0" collapsed="false">
      <c r="A2" s="2" t="n">
        <v>90904</v>
      </c>
      <c r="B2" s="2" t="s">
        <v>35</v>
      </c>
      <c r="C2" s="2"/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/>
      <c r="O2" s="2" t="n">
        <v>7.8744965</v>
      </c>
      <c r="P2" s="2" t="n">
        <v>98.3785192</v>
      </c>
      <c r="Q2" s="2"/>
      <c r="R2" s="2" t="s">
        <v>45</v>
      </c>
      <c r="S2" s="2"/>
      <c r="T2" s="2"/>
      <c r="U2" s="2" t="s">
        <v>46</v>
      </c>
      <c r="V2" s="2"/>
      <c r="W2" s="2" t="s">
        <v>47</v>
      </c>
      <c r="X2" s="2"/>
      <c r="Y2" s="2" t="s">
        <v>48</v>
      </c>
      <c r="Z2" s="3" t="s">
        <v>49</v>
      </c>
      <c r="AA2" s="2" t="s">
        <v>40</v>
      </c>
      <c r="AB2" s="2" t="s">
        <v>50</v>
      </c>
      <c r="AC2" s="2" t="n">
        <v>0</v>
      </c>
      <c r="AD2" s="2" t="n">
        <v>920</v>
      </c>
      <c r="AE2" s="2" t="n">
        <v>1</v>
      </c>
      <c r="AF2" s="2"/>
      <c r="AG2" s="2" t="s">
        <v>51</v>
      </c>
      <c r="AH2" s="2" t="s">
        <v>52</v>
      </c>
      <c r="AI2" s="2" t="n">
        <v>0</v>
      </c>
    </row>
    <row r="3" customFormat="false" ht="15" hidden="false" customHeight="false" outlineLevel="0" collapsed="false">
      <c r="A3" s="2" t="n">
        <v>90847</v>
      </c>
      <c r="B3" s="2" t="s">
        <v>53</v>
      </c>
      <c r="C3" s="2"/>
      <c r="D3" s="2" t="s">
        <v>54</v>
      </c>
      <c r="E3" s="2" t="s">
        <v>55</v>
      </c>
      <c r="F3" s="2" t="s">
        <v>38</v>
      </c>
      <c r="G3" s="2" t="s">
        <v>39</v>
      </c>
      <c r="H3" s="2" t="s">
        <v>40</v>
      </c>
      <c r="I3" s="2" t="s">
        <v>40</v>
      </c>
      <c r="J3" s="2" t="s">
        <v>56</v>
      </c>
      <c r="K3" s="2" t="s">
        <v>57</v>
      </c>
      <c r="L3" s="2" t="s">
        <v>58</v>
      </c>
      <c r="M3" s="2" t="s">
        <v>44</v>
      </c>
      <c r="N3" s="2"/>
      <c r="O3" s="2" t="n">
        <v>8.0232978</v>
      </c>
      <c r="P3" s="2" t="n">
        <v>98.301606</v>
      </c>
      <c r="Q3" s="2" t="s">
        <v>59</v>
      </c>
      <c r="R3" s="2"/>
      <c r="S3" s="2"/>
      <c r="T3" s="2"/>
      <c r="U3" s="2" t="s">
        <v>60</v>
      </c>
      <c r="V3" s="2"/>
      <c r="W3" s="2" t="s">
        <v>61</v>
      </c>
      <c r="X3" s="2"/>
      <c r="Y3" s="2" t="s">
        <v>48</v>
      </c>
      <c r="Z3" s="3" t="s">
        <v>62</v>
      </c>
      <c r="AA3" s="2" t="s">
        <v>40</v>
      </c>
      <c r="AB3" s="2" t="s">
        <v>50</v>
      </c>
      <c r="AC3" s="2" t="n">
        <v>0</v>
      </c>
      <c r="AD3" s="2" t="n">
        <v>656</v>
      </c>
      <c r="AE3" s="2" t="n">
        <v>0</v>
      </c>
      <c r="AF3" s="2"/>
      <c r="AG3" s="2" t="s">
        <v>63</v>
      </c>
      <c r="AH3" s="2" t="s">
        <v>64</v>
      </c>
      <c r="AI3" s="2" t="n">
        <v>0</v>
      </c>
    </row>
    <row r="4" customFormat="false" ht="15" hidden="false" customHeight="false" outlineLevel="0" collapsed="false">
      <c r="A4" s="2" t="n">
        <v>90888</v>
      </c>
      <c r="B4" s="2" t="s">
        <v>65</v>
      </c>
      <c r="C4" s="2"/>
      <c r="D4" s="2" t="s">
        <v>66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40</v>
      </c>
      <c r="J4" s="2" t="s">
        <v>67</v>
      </c>
      <c r="K4" s="2" t="s">
        <v>68</v>
      </c>
      <c r="L4" s="2" t="s">
        <v>43</v>
      </c>
      <c r="M4" s="2" t="s">
        <v>44</v>
      </c>
      <c r="N4" s="2"/>
      <c r="O4" s="2" t="n">
        <v>7.8847508</v>
      </c>
      <c r="P4" s="2" t="n">
        <v>98.3880084</v>
      </c>
      <c r="Q4" s="2"/>
      <c r="R4" s="2" t="s">
        <v>69</v>
      </c>
      <c r="S4" s="2"/>
      <c r="T4" s="2"/>
      <c r="U4" s="2" t="s">
        <v>70</v>
      </c>
      <c r="V4" s="2"/>
      <c r="W4" s="2" t="s">
        <v>71</v>
      </c>
      <c r="X4" s="2"/>
      <c r="Y4" s="2" t="s">
        <v>48</v>
      </c>
      <c r="Z4" s="3" t="s">
        <v>72</v>
      </c>
      <c r="AA4" s="2" t="s">
        <v>40</v>
      </c>
      <c r="AB4" s="2" t="s">
        <v>50</v>
      </c>
      <c r="AC4" s="2" t="n">
        <v>0</v>
      </c>
      <c r="AD4" s="2" t="n">
        <v>547</v>
      </c>
      <c r="AE4" s="2" t="n">
        <v>1</v>
      </c>
      <c r="AF4" s="2"/>
      <c r="AG4" s="2" t="s">
        <v>73</v>
      </c>
      <c r="AH4" s="2" t="s">
        <v>74</v>
      </c>
      <c r="AI4" s="2" t="n">
        <v>0</v>
      </c>
    </row>
    <row r="5" customFormat="false" ht="15" hidden="false" customHeight="false" outlineLevel="0" collapsed="false">
      <c r="A5" s="2" t="n">
        <v>90881</v>
      </c>
      <c r="B5" s="2" t="s">
        <v>75</v>
      </c>
      <c r="C5" s="2"/>
      <c r="D5" s="2" t="s">
        <v>76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40</v>
      </c>
      <c r="J5" s="2" t="s">
        <v>77</v>
      </c>
      <c r="K5" s="2" t="s">
        <v>78</v>
      </c>
      <c r="L5" s="2" t="s">
        <v>43</v>
      </c>
      <c r="M5" s="2" t="s">
        <v>44</v>
      </c>
      <c r="N5" s="2"/>
      <c r="O5" s="2" t="n">
        <v>7.904422</v>
      </c>
      <c r="P5" s="2" t="n">
        <v>98.369395</v>
      </c>
      <c r="Q5" s="2"/>
      <c r="R5" s="2" t="s">
        <v>79</v>
      </c>
      <c r="S5" s="2"/>
      <c r="T5" s="2"/>
      <c r="U5" s="2" t="s">
        <v>80</v>
      </c>
      <c r="V5" s="2"/>
      <c r="W5" s="2" t="s">
        <v>81</v>
      </c>
      <c r="X5" s="2"/>
      <c r="Y5" s="2" t="s">
        <v>48</v>
      </c>
      <c r="Z5" s="3" t="s">
        <v>82</v>
      </c>
      <c r="AA5" s="2" t="s">
        <v>40</v>
      </c>
      <c r="AB5" s="2" t="s">
        <v>50</v>
      </c>
      <c r="AC5" s="2" t="n">
        <v>0</v>
      </c>
      <c r="AD5" s="2" t="n">
        <v>660</v>
      </c>
      <c r="AE5" s="2" t="n">
        <v>1</v>
      </c>
      <c r="AF5" s="2"/>
      <c r="AG5" s="2" t="s">
        <v>83</v>
      </c>
      <c r="AH5" s="2" t="s">
        <v>84</v>
      </c>
      <c r="AI5" s="2" t="n">
        <v>0</v>
      </c>
    </row>
    <row r="6" customFormat="false" ht="15" hidden="false" customHeight="false" outlineLevel="0" collapsed="false">
      <c r="A6" s="2" t="n">
        <v>91364</v>
      </c>
      <c r="B6" s="2" t="s">
        <v>85</v>
      </c>
      <c r="C6" s="2"/>
      <c r="D6" s="2" t="s">
        <v>86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40</v>
      </c>
      <c r="J6" s="2" t="s">
        <v>87</v>
      </c>
      <c r="K6" s="2" t="s">
        <v>88</v>
      </c>
      <c r="L6" s="2" t="s">
        <v>43</v>
      </c>
      <c r="M6" s="2" t="s">
        <v>44</v>
      </c>
      <c r="N6" s="2"/>
      <c r="O6" s="2" t="n">
        <v>7.7890013</v>
      </c>
      <c r="P6" s="2" t="n">
        <v>98.3174684</v>
      </c>
      <c r="Q6" s="2" t="s">
        <v>89</v>
      </c>
      <c r="R6" s="2"/>
      <c r="S6" s="2"/>
      <c r="T6" s="2"/>
      <c r="U6" s="2" t="s">
        <v>90</v>
      </c>
      <c r="V6" s="2"/>
      <c r="W6" s="2" t="s">
        <v>91</v>
      </c>
      <c r="X6" s="2"/>
      <c r="Y6" s="2" t="s">
        <v>48</v>
      </c>
      <c r="Z6" s="3" t="s">
        <v>92</v>
      </c>
      <c r="AA6" s="2" t="s">
        <v>40</v>
      </c>
      <c r="AB6" s="2" t="s">
        <v>50</v>
      </c>
      <c r="AC6" s="2" t="n">
        <v>0</v>
      </c>
      <c r="AD6" s="2" t="n">
        <v>593</v>
      </c>
      <c r="AE6" s="2" t="n">
        <v>0</v>
      </c>
      <c r="AF6" s="2"/>
      <c r="AG6" s="2" t="s">
        <v>93</v>
      </c>
      <c r="AH6" s="2" t="s">
        <v>94</v>
      </c>
      <c r="AI6" s="2" t="n">
        <v>0</v>
      </c>
    </row>
    <row r="7" customFormat="false" ht="15" hidden="false" customHeight="false" outlineLevel="0" collapsed="false">
      <c r="A7" s="2" t="n">
        <v>90799</v>
      </c>
      <c r="B7" s="2" t="s">
        <v>95</v>
      </c>
      <c r="C7" s="2"/>
      <c r="D7" s="2" t="s">
        <v>96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40</v>
      </c>
      <c r="J7" s="2" t="s">
        <v>97</v>
      </c>
      <c r="K7" s="2" t="s">
        <v>78</v>
      </c>
      <c r="L7" s="2" t="s">
        <v>43</v>
      </c>
      <c r="M7" s="2" t="s">
        <v>44</v>
      </c>
      <c r="N7" s="2"/>
      <c r="O7" s="2" t="n">
        <v>7.8825198</v>
      </c>
      <c r="P7" s="2" t="n">
        <v>98.3912498</v>
      </c>
      <c r="Q7" s="2"/>
      <c r="R7" s="2" t="s">
        <v>98</v>
      </c>
      <c r="S7" s="2"/>
      <c r="T7" s="2"/>
      <c r="U7" s="2" t="s">
        <v>99</v>
      </c>
      <c r="V7" s="2"/>
      <c r="W7" s="2" t="s">
        <v>81</v>
      </c>
      <c r="X7" s="2"/>
      <c r="Y7" s="2" t="s">
        <v>48</v>
      </c>
      <c r="Z7" s="3" t="s">
        <v>100</v>
      </c>
      <c r="AA7" s="2" t="s">
        <v>40</v>
      </c>
      <c r="AB7" s="2" t="s">
        <v>50</v>
      </c>
      <c r="AC7" s="2" t="n">
        <v>0</v>
      </c>
      <c r="AD7" s="2" t="n">
        <v>611</v>
      </c>
      <c r="AE7" s="2" t="n">
        <v>0</v>
      </c>
      <c r="AF7" s="2"/>
      <c r="AG7" s="2" t="s">
        <v>101</v>
      </c>
      <c r="AH7" s="2" t="s">
        <v>102</v>
      </c>
      <c r="AI7" s="2" t="n">
        <v>0</v>
      </c>
    </row>
    <row r="8" customFormat="false" ht="15" hidden="false" customHeight="false" outlineLevel="0" collapsed="false">
      <c r="A8" s="2" t="n">
        <v>91239</v>
      </c>
      <c r="B8" s="2" t="s">
        <v>103</v>
      </c>
      <c r="C8" s="2"/>
      <c r="D8" s="2" t="s">
        <v>104</v>
      </c>
      <c r="E8" s="2" t="s">
        <v>105</v>
      </c>
      <c r="F8" s="2" t="s">
        <v>106</v>
      </c>
      <c r="G8" s="2" t="s">
        <v>39</v>
      </c>
      <c r="H8" s="2" t="s">
        <v>40</v>
      </c>
      <c r="I8" s="2" t="s">
        <v>40</v>
      </c>
      <c r="J8" s="2" t="s">
        <v>107</v>
      </c>
      <c r="K8" s="2" t="s">
        <v>108</v>
      </c>
      <c r="L8" s="2" t="s">
        <v>109</v>
      </c>
      <c r="M8" s="2" t="s">
        <v>44</v>
      </c>
      <c r="N8" s="2"/>
      <c r="O8" s="2" t="n">
        <v>7.9167757</v>
      </c>
      <c r="P8" s="2" t="n">
        <v>98.2908543</v>
      </c>
      <c r="Q8" s="2" t="s">
        <v>110</v>
      </c>
      <c r="R8" s="2"/>
      <c r="S8" s="2"/>
      <c r="T8" s="2"/>
      <c r="U8" s="2" t="s">
        <v>111</v>
      </c>
      <c r="V8" s="2"/>
      <c r="W8" s="2" t="s">
        <v>47</v>
      </c>
      <c r="X8" s="2"/>
      <c r="Y8" s="2" t="s">
        <v>48</v>
      </c>
      <c r="Z8" s="3" t="s">
        <v>112</v>
      </c>
      <c r="AA8" s="2" t="s">
        <v>40</v>
      </c>
      <c r="AB8" s="2" t="s">
        <v>50</v>
      </c>
      <c r="AC8" s="2" t="n">
        <v>0</v>
      </c>
      <c r="AD8" s="2" t="n">
        <v>600</v>
      </c>
      <c r="AE8" s="2" t="n">
        <v>1</v>
      </c>
      <c r="AF8" s="2"/>
      <c r="AG8" s="2" t="s">
        <v>113</v>
      </c>
      <c r="AH8" s="2" t="s">
        <v>114</v>
      </c>
      <c r="AI8" s="2" t="n">
        <v>0</v>
      </c>
    </row>
    <row r="9" customFormat="false" ht="15" hidden="false" customHeight="false" outlineLevel="0" collapsed="false">
      <c r="A9" s="2" t="n">
        <v>91203</v>
      </c>
      <c r="B9" s="2" t="s">
        <v>115</v>
      </c>
      <c r="C9" s="2"/>
      <c r="D9" s="2" t="s">
        <v>116</v>
      </c>
      <c r="E9" s="2" t="s">
        <v>117</v>
      </c>
      <c r="F9" s="2" t="s">
        <v>118</v>
      </c>
      <c r="G9" s="2" t="s">
        <v>39</v>
      </c>
      <c r="H9" s="2" t="s">
        <v>40</v>
      </c>
      <c r="I9" s="2" t="s">
        <v>40</v>
      </c>
      <c r="J9" s="2" t="s">
        <v>119</v>
      </c>
      <c r="K9" s="2" t="s">
        <v>120</v>
      </c>
      <c r="L9" s="2" t="s">
        <v>58</v>
      </c>
      <c r="M9" s="2" t="s">
        <v>44</v>
      </c>
      <c r="N9" s="2"/>
      <c r="O9" s="2" t="n">
        <v>8.109234</v>
      </c>
      <c r="P9" s="2" t="n">
        <v>98.30901</v>
      </c>
      <c r="Q9" s="2"/>
      <c r="R9" s="2" t="s">
        <v>121</v>
      </c>
      <c r="S9" s="2"/>
      <c r="T9" s="2"/>
      <c r="U9" s="2" t="s">
        <v>122</v>
      </c>
      <c r="V9" s="2"/>
      <c r="W9" s="2" t="s">
        <v>123</v>
      </c>
      <c r="X9" s="2"/>
      <c r="Y9" s="2" t="s">
        <v>48</v>
      </c>
      <c r="Z9" s="3" t="s">
        <v>124</v>
      </c>
      <c r="AA9" s="2" t="s">
        <v>40</v>
      </c>
      <c r="AB9" s="2" t="s">
        <v>50</v>
      </c>
      <c r="AC9" s="2" t="n">
        <v>0</v>
      </c>
      <c r="AD9" s="2" t="n">
        <v>672</v>
      </c>
      <c r="AE9" s="2" t="n">
        <v>0</v>
      </c>
      <c r="AF9" s="2"/>
      <c r="AG9" s="2" t="s">
        <v>125</v>
      </c>
      <c r="AH9" s="2" t="s">
        <v>126</v>
      </c>
      <c r="AI9" s="2" t="n">
        <v>0</v>
      </c>
    </row>
    <row r="10" customFormat="false" ht="15" hidden="false" customHeight="false" outlineLevel="0" collapsed="false">
      <c r="A10" s="2" t="n">
        <v>90856</v>
      </c>
      <c r="B10" s="2" t="s">
        <v>127</v>
      </c>
      <c r="C10" s="2"/>
      <c r="D10" s="2" t="s">
        <v>128</v>
      </c>
      <c r="E10" s="2" t="s">
        <v>37</v>
      </c>
      <c r="F10" s="2" t="s">
        <v>129</v>
      </c>
      <c r="G10" s="2" t="s">
        <v>39</v>
      </c>
      <c r="H10" s="2" t="s">
        <v>40</v>
      </c>
      <c r="I10" s="2" t="s">
        <v>40</v>
      </c>
      <c r="J10" s="2" t="s">
        <v>130</v>
      </c>
      <c r="K10" s="2" t="s">
        <v>131</v>
      </c>
      <c r="L10" s="2" t="s">
        <v>58</v>
      </c>
      <c r="M10" s="2" t="s">
        <v>44</v>
      </c>
      <c r="N10" s="2"/>
      <c r="O10" s="2" t="n">
        <v>8.0932787</v>
      </c>
      <c r="P10" s="2" t="n">
        <v>98.3030752</v>
      </c>
      <c r="Q10" s="2" t="s">
        <v>132</v>
      </c>
      <c r="R10" s="2"/>
      <c r="S10" s="2"/>
      <c r="T10" s="2"/>
      <c r="U10" s="2" t="s">
        <v>133</v>
      </c>
      <c r="V10" s="2"/>
      <c r="W10" s="2" t="s">
        <v>134</v>
      </c>
      <c r="X10" s="2"/>
      <c r="Y10" s="2" t="s">
        <v>48</v>
      </c>
      <c r="Z10" s="3" t="s">
        <v>135</v>
      </c>
      <c r="AA10" s="2" t="s">
        <v>40</v>
      </c>
      <c r="AB10" s="2" t="s">
        <v>50</v>
      </c>
      <c r="AC10" s="2" t="n">
        <v>0</v>
      </c>
      <c r="AD10" s="2" t="n">
        <v>775</v>
      </c>
      <c r="AE10" s="2" t="n">
        <v>0</v>
      </c>
      <c r="AF10" s="2"/>
      <c r="AG10" s="2" t="s">
        <v>136</v>
      </c>
      <c r="AH10" s="2" t="s">
        <v>137</v>
      </c>
      <c r="AI10" s="2" t="n">
        <v>0</v>
      </c>
    </row>
    <row r="11" customFormat="false" ht="15" hidden="false" customHeight="false" outlineLevel="0" collapsed="false">
      <c r="A11" s="2" t="n">
        <v>90846</v>
      </c>
      <c r="B11" s="2" t="s">
        <v>138</v>
      </c>
      <c r="C11" s="2"/>
      <c r="D11" s="2" t="s">
        <v>139</v>
      </c>
      <c r="E11" s="2" t="s">
        <v>37</v>
      </c>
      <c r="F11" s="2" t="s">
        <v>106</v>
      </c>
      <c r="G11" s="2" t="s">
        <v>39</v>
      </c>
      <c r="H11" s="2" t="s">
        <v>40</v>
      </c>
      <c r="I11" s="2" t="s">
        <v>40</v>
      </c>
      <c r="J11" s="2" t="s">
        <v>140</v>
      </c>
      <c r="K11" s="2" t="s">
        <v>68</v>
      </c>
      <c r="L11" s="2" t="s">
        <v>43</v>
      </c>
      <c r="M11" s="2" t="s">
        <v>44</v>
      </c>
      <c r="N11" s="2"/>
      <c r="O11" s="2" t="n">
        <v>7.8854589</v>
      </c>
      <c r="P11" s="2" t="n">
        <v>98.3907712</v>
      </c>
      <c r="Q11" s="2"/>
      <c r="R11" s="2" t="s">
        <v>141</v>
      </c>
      <c r="S11" s="2"/>
      <c r="T11" s="2"/>
      <c r="U11" s="2" t="s">
        <v>142</v>
      </c>
      <c r="V11" s="2"/>
      <c r="W11" s="2" t="s">
        <v>143</v>
      </c>
      <c r="X11" s="2"/>
      <c r="Y11" s="2" t="s">
        <v>48</v>
      </c>
      <c r="Z11" s="3" t="s">
        <v>144</v>
      </c>
      <c r="AA11" s="2" t="s">
        <v>40</v>
      </c>
      <c r="AB11" s="2" t="s">
        <v>50</v>
      </c>
      <c r="AC11" s="2" t="n">
        <v>0</v>
      </c>
      <c r="AD11" s="2" t="n">
        <v>712</v>
      </c>
      <c r="AE11" s="2" t="n">
        <v>1</v>
      </c>
      <c r="AF11" s="2"/>
      <c r="AG11" s="2" t="s">
        <v>145</v>
      </c>
      <c r="AH11" s="2" t="s">
        <v>146</v>
      </c>
      <c r="AI11" s="2" t="n">
        <v>0</v>
      </c>
    </row>
    <row r="12" customFormat="false" ht="15" hidden="false" customHeight="false" outlineLevel="0" collapsed="false">
      <c r="A12" s="2" t="n">
        <v>92103</v>
      </c>
      <c r="B12" s="2" t="s">
        <v>147</v>
      </c>
      <c r="C12" s="2"/>
      <c r="D12" s="2" t="s">
        <v>148</v>
      </c>
      <c r="E12" s="2" t="s">
        <v>55</v>
      </c>
      <c r="F12" s="2" t="s">
        <v>38</v>
      </c>
      <c r="G12" s="2" t="s">
        <v>39</v>
      </c>
      <c r="H12" s="2" t="s">
        <v>40</v>
      </c>
      <c r="I12" s="2" t="s">
        <v>40</v>
      </c>
      <c r="J12" s="2" t="s">
        <v>149</v>
      </c>
      <c r="K12" s="2" t="s">
        <v>42</v>
      </c>
      <c r="L12" s="2" t="s">
        <v>43</v>
      </c>
      <c r="M12" s="2" t="s">
        <v>44</v>
      </c>
      <c r="N12" s="2"/>
      <c r="O12" s="2" t="n">
        <v>7.8885435</v>
      </c>
      <c r="P12" s="2" t="n">
        <v>98.385276</v>
      </c>
      <c r="Q12" s="2"/>
      <c r="R12" s="2" t="s">
        <v>150</v>
      </c>
      <c r="S12" s="2"/>
      <c r="T12" s="2"/>
      <c r="U12" s="2" t="s">
        <v>151</v>
      </c>
      <c r="V12" s="2"/>
      <c r="W12" s="2" t="s">
        <v>152</v>
      </c>
      <c r="X12" s="2"/>
      <c r="Y12" s="2" t="s">
        <v>48</v>
      </c>
      <c r="Z12" s="3" t="s">
        <v>153</v>
      </c>
      <c r="AA12" s="2" t="s">
        <v>40</v>
      </c>
      <c r="AB12" s="2" t="s">
        <v>50</v>
      </c>
      <c r="AC12" s="2" t="n">
        <v>0</v>
      </c>
      <c r="AD12" s="2" t="n">
        <v>597</v>
      </c>
      <c r="AE12" s="2" t="n">
        <v>1</v>
      </c>
      <c r="AF12" s="2"/>
      <c r="AG12" s="2" t="s">
        <v>154</v>
      </c>
      <c r="AH12" s="2" t="s">
        <v>155</v>
      </c>
      <c r="AI12" s="2" t="n">
        <v>0</v>
      </c>
    </row>
    <row r="13" customFormat="false" ht="15" hidden="false" customHeight="false" outlineLevel="0" collapsed="false">
      <c r="A13" s="2" t="n">
        <v>92974</v>
      </c>
      <c r="B13" s="2" t="s">
        <v>156</v>
      </c>
      <c r="C13" s="2"/>
      <c r="D13" s="2" t="s">
        <v>157</v>
      </c>
      <c r="E13" s="2" t="s">
        <v>55</v>
      </c>
      <c r="F13" s="2" t="s">
        <v>129</v>
      </c>
      <c r="G13" s="2" t="s">
        <v>39</v>
      </c>
      <c r="H13" s="2" t="s">
        <v>40</v>
      </c>
      <c r="I13" s="2" t="s">
        <v>40</v>
      </c>
      <c r="J13" s="2" t="s">
        <v>158</v>
      </c>
      <c r="K13" s="2" t="s">
        <v>78</v>
      </c>
      <c r="L13" s="2" t="s">
        <v>43</v>
      </c>
      <c r="M13" s="2" t="s">
        <v>44</v>
      </c>
      <c r="N13" s="2"/>
      <c r="O13" s="2" t="n">
        <v>7.881194</v>
      </c>
      <c r="P13" s="2" t="n">
        <v>98.3682571</v>
      </c>
      <c r="Q13" s="2"/>
      <c r="R13" s="2" t="s">
        <v>159</v>
      </c>
      <c r="S13" s="2"/>
      <c r="T13" s="2"/>
      <c r="U13" s="2" t="s">
        <v>160</v>
      </c>
      <c r="V13" s="2"/>
      <c r="W13" s="2" t="s">
        <v>161</v>
      </c>
      <c r="X13" s="2"/>
      <c r="Y13" s="2" t="s">
        <v>48</v>
      </c>
      <c r="Z13" s="3" t="s">
        <v>162</v>
      </c>
      <c r="AA13" s="2" t="s">
        <v>40</v>
      </c>
      <c r="AB13" s="2" t="s">
        <v>50</v>
      </c>
      <c r="AC13" s="2" t="n">
        <v>0</v>
      </c>
      <c r="AD13" s="2" t="n">
        <v>540</v>
      </c>
      <c r="AE13" s="2" t="n">
        <v>0</v>
      </c>
      <c r="AF13" s="2"/>
      <c r="AG13" s="2" t="s">
        <v>163</v>
      </c>
      <c r="AH13" s="2" t="s">
        <v>164</v>
      </c>
      <c r="AI13" s="2" t="n">
        <v>0</v>
      </c>
    </row>
    <row r="14" customFormat="false" ht="15" hidden="false" customHeight="false" outlineLevel="0" collapsed="false">
      <c r="A14" s="2" t="n">
        <v>90812</v>
      </c>
      <c r="B14" s="2" t="s">
        <v>165</v>
      </c>
      <c r="C14" s="2"/>
      <c r="D14" s="2" t="s">
        <v>166</v>
      </c>
      <c r="E14" s="2" t="s">
        <v>105</v>
      </c>
      <c r="F14" s="2" t="s">
        <v>38</v>
      </c>
      <c r="G14" s="2" t="s">
        <v>39</v>
      </c>
      <c r="H14" s="2" t="s">
        <v>40</v>
      </c>
      <c r="I14" s="2" t="s">
        <v>40</v>
      </c>
      <c r="J14" s="2" t="s">
        <v>167</v>
      </c>
      <c r="K14" s="2" t="s">
        <v>78</v>
      </c>
      <c r="L14" s="2" t="s">
        <v>43</v>
      </c>
      <c r="M14" s="2" t="s">
        <v>44</v>
      </c>
      <c r="N14" s="2"/>
      <c r="O14" s="2" t="n">
        <v>7.802486</v>
      </c>
      <c r="P14" s="2" t="n">
        <v>98.410731</v>
      </c>
      <c r="Q14" s="2" t="s">
        <v>168</v>
      </c>
      <c r="R14" s="2"/>
      <c r="S14" s="2"/>
      <c r="T14" s="2"/>
      <c r="U14" s="2" t="s">
        <v>169</v>
      </c>
      <c r="V14" s="2"/>
      <c r="W14" s="2" t="s">
        <v>170</v>
      </c>
      <c r="X14" s="2"/>
      <c r="Y14" s="2" t="s">
        <v>48</v>
      </c>
      <c r="Z14" s="3" t="s">
        <v>171</v>
      </c>
      <c r="AA14" s="2" t="s">
        <v>40</v>
      </c>
      <c r="AB14" s="2" t="s">
        <v>50</v>
      </c>
      <c r="AC14" s="2" t="n">
        <v>0</v>
      </c>
      <c r="AD14" s="2" t="n">
        <v>667</v>
      </c>
      <c r="AE14" s="2" t="n">
        <v>1</v>
      </c>
      <c r="AF14" s="2"/>
      <c r="AG14" s="2" t="s">
        <v>172</v>
      </c>
      <c r="AH14" s="2" t="s">
        <v>173</v>
      </c>
      <c r="AI14" s="2" t="n">
        <v>0</v>
      </c>
    </row>
    <row r="15" customFormat="false" ht="15" hidden="false" customHeight="false" outlineLevel="0" collapsed="false">
      <c r="A15" s="2" t="n">
        <v>91741</v>
      </c>
      <c r="B15" s="2" t="s">
        <v>174</v>
      </c>
      <c r="C15" s="2"/>
      <c r="D15" s="2" t="s">
        <v>175</v>
      </c>
      <c r="E15" s="2" t="s">
        <v>37</v>
      </c>
      <c r="F15" s="2" t="s">
        <v>38</v>
      </c>
      <c r="G15" s="2" t="s">
        <v>39</v>
      </c>
      <c r="H15" s="2" t="s">
        <v>40</v>
      </c>
      <c r="I15" s="2" t="s">
        <v>40</v>
      </c>
      <c r="J15" s="2" t="s">
        <v>176</v>
      </c>
      <c r="K15" s="2" t="s">
        <v>42</v>
      </c>
      <c r="L15" s="2" t="s">
        <v>43</v>
      </c>
      <c r="M15" s="2" t="s">
        <v>44</v>
      </c>
      <c r="N15" s="2"/>
      <c r="O15" s="2" t="n">
        <v>7.8831479</v>
      </c>
      <c r="P15" s="2" t="n">
        <v>98.3894546</v>
      </c>
      <c r="Q15" s="2"/>
      <c r="R15" s="2" t="s">
        <v>177</v>
      </c>
      <c r="S15" s="2"/>
      <c r="T15" s="2"/>
      <c r="U15" s="2" t="s">
        <v>178</v>
      </c>
      <c r="V15" s="2"/>
      <c r="W15" s="2" t="s">
        <v>179</v>
      </c>
      <c r="X15" s="2"/>
      <c r="Y15" s="2" t="s">
        <v>48</v>
      </c>
      <c r="Z15" s="3" t="s">
        <v>180</v>
      </c>
      <c r="AA15" s="2" t="s">
        <v>40</v>
      </c>
      <c r="AB15" s="2" t="s">
        <v>50</v>
      </c>
      <c r="AC15" s="2" t="n">
        <v>0</v>
      </c>
      <c r="AD15" s="2" t="n">
        <v>605</v>
      </c>
      <c r="AE15" s="2" t="n">
        <v>0</v>
      </c>
      <c r="AF15" s="2"/>
      <c r="AG15" s="2" t="s">
        <v>181</v>
      </c>
      <c r="AH15" s="2" t="s">
        <v>182</v>
      </c>
      <c r="AI15" s="2" t="n">
        <v>0</v>
      </c>
    </row>
    <row r="16" customFormat="false" ht="15" hidden="false" customHeight="false" outlineLevel="0" collapsed="false">
      <c r="A16" s="2" t="n">
        <v>91777</v>
      </c>
      <c r="B16" s="2" t="s">
        <v>183</v>
      </c>
      <c r="C16" s="2"/>
      <c r="D16" s="2" t="s">
        <v>184</v>
      </c>
      <c r="E16" s="2" t="s">
        <v>37</v>
      </c>
      <c r="F16" s="2" t="s">
        <v>38</v>
      </c>
      <c r="G16" s="2" t="s">
        <v>39</v>
      </c>
      <c r="H16" s="2" t="s">
        <v>40</v>
      </c>
      <c r="I16" s="2" t="s">
        <v>40</v>
      </c>
      <c r="J16" s="2" t="s">
        <v>77</v>
      </c>
      <c r="K16" s="2" t="s">
        <v>78</v>
      </c>
      <c r="L16" s="2" t="s">
        <v>43</v>
      </c>
      <c r="M16" s="2" t="s">
        <v>44</v>
      </c>
      <c r="N16" s="2"/>
      <c r="O16" s="2" t="n">
        <v>7.9002716</v>
      </c>
      <c r="P16" s="2" t="n">
        <v>98.3679364</v>
      </c>
      <c r="Q16" s="2"/>
      <c r="R16" s="2" t="s">
        <v>185</v>
      </c>
      <c r="S16" s="2"/>
      <c r="T16" s="2"/>
      <c r="U16" s="2" t="s">
        <v>186</v>
      </c>
      <c r="V16" s="2"/>
      <c r="W16" s="2" t="s">
        <v>187</v>
      </c>
      <c r="X16" s="2"/>
      <c r="Y16" s="2" t="s">
        <v>48</v>
      </c>
      <c r="Z16" s="3" t="s">
        <v>188</v>
      </c>
      <c r="AA16" s="2" t="s">
        <v>40</v>
      </c>
      <c r="AB16" s="2" t="s">
        <v>50</v>
      </c>
      <c r="AC16" s="2" t="n">
        <v>0</v>
      </c>
      <c r="AD16" s="2" t="n">
        <v>596</v>
      </c>
      <c r="AE16" s="2" t="n">
        <v>0</v>
      </c>
      <c r="AF16" s="2"/>
      <c r="AG16" s="2" t="s">
        <v>189</v>
      </c>
      <c r="AH16" s="2" t="s">
        <v>190</v>
      </c>
      <c r="AI16" s="2" t="n">
        <v>0</v>
      </c>
    </row>
    <row r="17" customFormat="false" ht="15" hidden="false" customHeight="false" outlineLevel="0" collapsed="false">
      <c r="A17" s="2" t="n">
        <v>91370</v>
      </c>
      <c r="B17" s="2" t="s">
        <v>191</v>
      </c>
      <c r="C17" s="2"/>
      <c r="D17" s="2" t="s">
        <v>192</v>
      </c>
      <c r="E17" s="2" t="s">
        <v>55</v>
      </c>
      <c r="F17" s="2" t="s">
        <v>129</v>
      </c>
      <c r="G17" s="2" t="s">
        <v>39</v>
      </c>
      <c r="H17" s="2" t="s">
        <v>40</v>
      </c>
      <c r="I17" s="2" t="s">
        <v>40</v>
      </c>
      <c r="J17" s="2" t="s">
        <v>193</v>
      </c>
      <c r="K17" s="2" t="s">
        <v>78</v>
      </c>
      <c r="L17" s="2" t="s">
        <v>43</v>
      </c>
      <c r="M17" s="2" t="s">
        <v>44</v>
      </c>
      <c r="N17" s="2"/>
      <c r="O17" s="2" t="n">
        <v>7.872883</v>
      </c>
      <c r="P17" s="2" t="n">
        <v>98.366744</v>
      </c>
      <c r="Q17" s="2"/>
      <c r="R17" s="2" t="s">
        <v>194</v>
      </c>
      <c r="S17" s="2"/>
      <c r="T17" s="2"/>
      <c r="U17" s="2" t="s">
        <v>195</v>
      </c>
      <c r="V17" s="2"/>
      <c r="W17" s="2" t="s">
        <v>152</v>
      </c>
      <c r="X17" s="2"/>
      <c r="Y17" s="2" t="s">
        <v>48</v>
      </c>
      <c r="Z17" s="3" t="s">
        <v>196</v>
      </c>
      <c r="AA17" s="2" t="s">
        <v>40</v>
      </c>
      <c r="AB17" s="2" t="s">
        <v>50</v>
      </c>
      <c r="AC17" s="2" t="n">
        <v>0</v>
      </c>
      <c r="AD17" s="2" t="n">
        <v>1012</v>
      </c>
      <c r="AE17" s="2" t="n">
        <v>1</v>
      </c>
      <c r="AF17" s="2"/>
      <c r="AG17" s="2" t="s">
        <v>197</v>
      </c>
      <c r="AH17" s="2" t="s">
        <v>198</v>
      </c>
      <c r="AI17" s="2" t="n">
        <v>0</v>
      </c>
    </row>
    <row r="18" customFormat="false" ht="15" hidden="false" customHeight="false" outlineLevel="0" collapsed="false">
      <c r="A18" s="2" t="n">
        <v>91940</v>
      </c>
      <c r="B18" s="2" t="s">
        <v>199</v>
      </c>
      <c r="C18" s="2"/>
      <c r="D18" s="2" t="s">
        <v>157</v>
      </c>
      <c r="E18" s="2" t="s">
        <v>37</v>
      </c>
      <c r="F18" s="2" t="s">
        <v>106</v>
      </c>
      <c r="G18" s="2" t="s">
        <v>39</v>
      </c>
      <c r="H18" s="2" t="s">
        <v>40</v>
      </c>
      <c r="I18" s="2" t="s">
        <v>40</v>
      </c>
      <c r="J18" s="2" t="s">
        <v>200</v>
      </c>
      <c r="K18" s="2" t="s">
        <v>78</v>
      </c>
      <c r="L18" s="2" t="s">
        <v>43</v>
      </c>
      <c r="M18" s="2" t="s">
        <v>44</v>
      </c>
      <c r="N18" s="2"/>
      <c r="O18" s="2" t="n">
        <v>7.892147</v>
      </c>
      <c r="P18" s="2" t="n">
        <v>98.367327</v>
      </c>
      <c r="Q18" s="2"/>
      <c r="R18" s="2" t="s">
        <v>201</v>
      </c>
      <c r="S18" s="2"/>
      <c r="T18" s="2"/>
      <c r="U18" s="2" t="s">
        <v>202</v>
      </c>
      <c r="V18" s="2"/>
      <c r="W18" s="2" t="s">
        <v>203</v>
      </c>
      <c r="X18" s="2"/>
      <c r="Y18" s="2" t="s">
        <v>48</v>
      </c>
      <c r="Z18" s="3" t="s">
        <v>204</v>
      </c>
      <c r="AA18" s="2" t="s">
        <v>40</v>
      </c>
      <c r="AB18" s="2" t="s">
        <v>50</v>
      </c>
      <c r="AC18" s="2" t="n">
        <v>0</v>
      </c>
      <c r="AD18" s="2" t="n">
        <v>560</v>
      </c>
      <c r="AE18" s="2" t="n">
        <v>0</v>
      </c>
      <c r="AF18" s="2"/>
      <c r="AG18" s="2" t="s">
        <v>205</v>
      </c>
      <c r="AH18" s="2" t="s">
        <v>206</v>
      </c>
      <c r="AI18" s="2" t="n">
        <v>0</v>
      </c>
    </row>
    <row r="19" customFormat="false" ht="15" hidden="false" customHeight="false" outlineLevel="0" collapsed="false">
      <c r="A19" s="2" t="n">
        <v>91214</v>
      </c>
      <c r="B19" s="2" t="s">
        <v>207</v>
      </c>
      <c r="C19" s="2"/>
      <c r="D19" s="2" t="s">
        <v>208</v>
      </c>
      <c r="E19" s="2" t="s">
        <v>37</v>
      </c>
      <c r="F19" s="2" t="s">
        <v>38</v>
      </c>
      <c r="G19" s="2" t="s">
        <v>39</v>
      </c>
      <c r="H19" s="2" t="s">
        <v>40</v>
      </c>
      <c r="I19" s="2" t="s">
        <v>40</v>
      </c>
      <c r="J19" s="2" t="s">
        <v>209</v>
      </c>
      <c r="K19" s="2" t="s">
        <v>109</v>
      </c>
      <c r="L19" s="2" t="s">
        <v>109</v>
      </c>
      <c r="M19" s="2" t="s">
        <v>44</v>
      </c>
      <c r="N19" s="2"/>
      <c r="O19" s="2" t="n">
        <v>7.915466</v>
      </c>
      <c r="P19" s="2" t="n">
        <v>98.34763</v>
      </c>
      <c r="Q19" s="2"/>
      <c r="R19" s="2" t="s">
        <v>210</v>
      </c>
      <c r="S19" s="2"/>
      <c r="T19" s="2"/>
      <c r="U19" s="2" t="s">
        <v>211</v>
      </c>
      <c r="V19" s="2"/>
      <c r="W19" s="2" t="s">
        <v>212</v>
      </c>
      <c r="X19" s="2"/>
      <c r="Y19" s="2" t="s">
        <v>48</v>
      </c>
      <c r="Z19" s="3" t="s">
        <v>213</v>
      </c>
      <c r="AA19" s="2" t="s">
        <v>40</v>
      </c>
      <c r="AB19" s="2" t="s">
        <v>50</v>
      </c>
      <c r="AC19" s="2" t="n">
        <v>0</v>
      </c>
      <c r="AD19" s="2" t="n">
        <v>1061</v>
      </c>
      <c r="AE19" s="2" t="n">
        <v>0</v>
      </c>
      <c r="AF19" s="2"/>
      <c r="AG19" s="2" t="s">
        <v>214</v>
      </c>
      <c r="AH19" s="2" t="s">
        <v>215</v>
      </c>
      <c r="AI19" s="2" t="n">
        <v>0</v>
      </c>
    </row>
    <row r="20" customFormat="false" ht="15" hidden="false" customHeight="false" outlineLevel="0" collapsed="false">
      <c r="A20" s="2" t="n">
        <v>91209</v>
      </c>
      <c r="B20" s="2" t="s">
        <v>216</v>
      </c>
      <c r="C20" s="2"/>
      <c r="D20" s="2" t="s">
        <v>217</v>
      </c>
      <c r="E20" s="2" t="s">
        <v>55</v>
      </c>
      <c r="F20" s="2" t="s">
        <v>106</v>
      </c>
      <c r="G20" s="2" t="s">
        <v>39</v>
      </c>
      <c r="H20" s="2" t="s">
        <v>40</v>
      </c>
      <c r="I20" s="2" t="s">
        <v>40</v>
      </c>
      <c r="J20" s="2" t="s">
        <v>218</v>
      </c>
      <c r="K20" s="2" t="s">
        <v>219</v>
      </c>
      <c r="L20" s="2" t="s">
        <v>43</v>
      </c>
      <c r="M20" s="2" t="s">
        <v>44</v>
      </c>
      <c r="N20" s="2"/>
      <c r="O20" s="2" t="n">
        <v>7.947691</v>
      </c>
      <c r="P20" s="2" t="n">
        <v>98.395416</v>
      </c>
      <c r="Q20" s="2"/>
      <c r="R20" s="2" t="s">
        <v>220</v>
      </c>
      <c r="S20" s="2"/>
      <c r="T20" s="2"/>
      <c r="U20" s="2" t="s">
        <v>221</v>
      </c>
      <c r="V20" s="2"/>
      <c r="W20" s="2" t="s">
        <v>222</v>
      </c>
      <c r="X20" s="2"/>
      <c r="Y20" s="2" t="s">
        <v>48</v>
      </c>
      <c r="Z20" s="3" t="s">
        <v>223</v>
      </c>
      <c r="AA20" s="2" t="s">
        <v>40</v>
      </c>
      <c r="AB20" s="2" t="s">
        <v>50</v>
      </c>
      <c r="AC20" s="2" t="n">
        <v>0</v>
      </c>
      <c r="AD20" s="2" t="n">
        <v>659</v>
      </c>
      <c r="AE20" s="2" t="n">
        <v>1</v>
      </c>
      <c r="AF20" s="2"/>
      <c r="AG20" s="2" t="s">
        <v>224</v>
      </c>
      <c r="AH20" s="2" t="s">
        <v>225</v>
      </c>
      <c r="AI20" s="2" t="n">
        <v>0</v>
      </c>
    </row>
    <row r="21" customFormat="false" ht="15" hidden="false" customHeight="false" outlineLevel="0" collapsed="false">
      <c r="A21" s="2" t="n">
        <v>92090</v>
      </c>
      <c r="B21" s="2" t="s">
        <v>226</v>
      </c>
      <c r="C21" s="2"/>
      <c r="D21" s="2" t="s">
        <v>227</v>
      </c>
      <c r="E21" s="2" t="s">
        <v>37</v>
      </c>
      <c r="F21" s="2" t="s">
        <v>38</v>
      </c>
      <c r="G21" s="2" t="s">
        <v>39</v>
      </c>
      <c r="H21" s="2" t="s">
        <v>40</v>
      </c>
      <c r="I21" s="2" t="s">
        <v>40</v>
      </c>
      <c r="J21" s="2" t="s">
        <v>228</v>
      </c>
      <c r="K21" s="2" t="s">
        <v>78</v>
      </c>
      <c r="L21" s="2" t="s">
        <v>43</v>
      </c>
      <c r="M21" s="2" t="s">
        <v>44</v>
      </c>
      <c r="N21" s="2"/>
      <c r="O21" s="2" t="n">
        <v>7.8319293</v>
      </c>
      <c r="P21" s="2" t="n">
        <v>98.4010201</v>
      </c>
      <c r="Q21" s="2" t="s">
        <v>229</v>
      </c>
      <c r="R21" s="2"/>
      <c r="S21" s="2"/>
      <c r="T21" s="2"/>
      <c r="U21" s="2" t="s">
        <v>230</v>
      </c>
      <c r="V21" s="2"/>
      <c r="W21" s="2" t="s">
        <v>231</v>
      </c>
      <c r="X21" s="2"/>
      <c r="Y21" s="2" t="s">
        <v>48</v>
      </c>
      <c r="Z21" s="3" t="s">
        <v>232</v>
      </c>
      <c r="AA21" s="2" t="s">
        <v>40</v>
      </c>
      <c r="AB21" s="2" t="s">
        <v>50</v>
      </c>
      <c r="AC21" s="2" t="n">
        <v>0</v>
      </c>
      <c r="AD21" s="2" t="n">
        <v>510</v>
      </c>
      <c r="AE21" s="2" t="n">
        <v>0</v>
      </c>
      <c r="AF21" s="2"/>
      <c r="AG21" s="2" t="s">
        <v>233</v>
      </c>
      <c r="AH21" s="2" t="s">
        <v>234</v>
      </c>
      <c r="AI21" s="2" t="n">
        <v>0</v>
      </c>
    </row>
    <row r="22" customFormat="false" ht="15" hidden="false" customHeight="false" outlineLevel="0" collapsed="false">
      <c r="A22" s="2" t="n">
        <v>91210</v>
      </c>
      <c r="B22" s="2" t="s">
        <v>235</v>
      </c>
      <c r="C22" s="2"/>
      <c r="D22" s="2" t="s">
        <v>236</v>
      </c>
      <c r="E22" s="2" t="s">
        <v>105</v>
      </c>
      <c r="F22" s="2" t="s">
        <v>237</v>
      </c>
      <c r="G22" s="2" t="s">
        <v>39</v>
      </c>
      <c r="H22" s="2" t="s">
        <v>40</v>
      </c>
      <c r="I22" s="2" t="s">
        <v>40</v>
      </c>
      <c r="J22" s="2" t="s">
        <v>238</v>
      </c>
      <c r="K22" s="2" t="s">
        <v>42</v>
      </c>
      <c r="L22" s="2" t="s">
        <v>43</v>
      </c>
      <c r="M22" s="2" t="s">
        <v>44</v>
      </c>
      <c r="N22" s="2"/>
      <c r="O22" s="2" t="n">
        <v>7.886048</v>
      </c>
      <c r="P22" s="2" t="n">
        <v>98.3845803</v>
      </c>
      <c r="Q22" s="2" t="s">
        <v>239</v>
      </c>
      <c r="R22" s="2"/>
      <c r="S22" s="2"/>
      <c r="T22" s="2"/>
      <c r="U22" s="2" t="s">
        <v>240</v>
      </c>
      <c r="V22" s="2"/>
      <c r="W22" s="2" t="s">
        <v>241</v>
      </c>
      <c r="X22" s="2"/>
      <c r="Y22" s="2" t="s">
        <v>48</v>
      </c>
      <c r="Z22" s="3" t="s">
        <v>242</v>
      </c>
      <c r="AA22" s="2" t="s">
        <v>40</v>
      </c>
      <c r="AB22" s="2" t="s">
        <v>50</v>
      </c>
      <c r="AC22" s="2" t="n">
        <v>0</v>
      </c>
      <c r="AD22" s="2" t="n">
        <v>654</v>
      </c>
      <c r="AE22" s="2" t="n">
        <v>0</v>
      </c>
      <c r="AF22" s="2"/>
      <c r="AG22" s="2" t="s">
        <v>243</v>
      </c>
      <c r="AH22" s="2" t="s">
        <v>244</v>
      </c>
      <c r="AI22" s="2" t="n">
        <v>0</v>
      </c>
    </row>
    <row r="23" customFormat="false" ht="15" hidden="false" customHeight="false" outlineLevel="0" collapsed="false">
      <c r="A23" s="2" t="n">
        <v>91774</v>
      </c>
      <c r="B23" s="2" t="s">
        <v>245</v>
      </c>
      <c r="C23" s="2"/>
      <c r="D23" s="2" t="s">
        <v>246</v>
      </c>
      <c r="E23" s="2" t="s">
        <v>105</v>
      </c>
      <c r="F23" s="2" t="s">
        <v>106</v>
      </c>
      <c r="G23" s="2" t="s">
        <v>39</v>
      </c>
      <c r="H23" s="2" t="s">
        <v>40</v>
      </c>
      <c r="I23" s="2" t="s">
        <v>40</v>
      </c>
      <c r="J23" s="2" t="s">
        <v>56</v>
      </c>
      <c r="K23" s="2" t="s">
        <v>57</v>
      </c>
      <c r="L23" s="2" t="s">
        <v>58</v>
      </c>
      <c r="M23" s="2" t="s">
        <v>44</v>
      </c>
      <c r="N23" s="2"/>
      <c r="O23" s="2" t="n">
        <v>8.004972</v>
      </c>
      <c r="P23" s="2" t="n">
        <v>98.295252</v>
      </c>
      <c r="Q23" s="2" t="s">
        <v>247</v>
      </c>
      <c r="R23" s="2"/>
      <c r="S23" s="2"/>
      <c r="T23" s="2"/>
      <c r="U23" s="2" t="s">
        <v>248</v>
      </c>
      <c r="V23" s="2"/>
      <c r="W23" s="2" t="s">
        <v>249</v>
      </c>
      <c r="X23" s="2"/>
      <c r="Y23" s="2" t="s">
        <v>48</v>
      </c>
      <c r="Z23" s="3" t="s">
        <v>250</v>
      </c>
      <c r="AA23" s="2" t="s">
        <v>40</v>
      </c>
      <c r="AB23" s="2" t="s">
        <v>50</v>
      </c>
      <c r="AC23" s="2" t="n">
        <v>0</v>
      </c>
      <c r="AD23" s="2" t="n">
        <v>550</v>
      </c>
      <c r="AE23" s="2" t="n">
        <v>0</v>
      </c>
      <c r="AF23" s="2"/>
      <c r="AG23" s="2" t="s">
        <v>251</v>
      </c>
      <c r="AH23" s="2" t="s">
        <v>252</v>
      </c>
      <c r="AI23" s="2" t="n">
        <v>0</v>
      </c>
    </row>
    <row r="24" customFormat="false" ht="15" hidden="false" customHeight="false" outlineLevel="0" collapsed="false">
      <c r="A24" s="2" t="n">
        <v>92105</v>
      </c>
      <c r="B24" s="2" t="s">
        <v>253</v>
      </c>
      <c r="C24" s="2"/>
      <c r="D24" s="2" t="s">
        <v>254</v>
      </c>
      <c r="E24" s="2" t="s">
        <v>105</v>
      </c>
      <c r="F24" s="2" t="s">
        <v>106</v>
      </c>
      <c r="G24" s="2" t="s">
        <v>39</v>
      </c>
      <c r="H24" s="2" t="s">
        <v>40</v>
      </c>
      <c r="I24" s="2" t="s">
        <v>40</v>
      </c>
      <c r="J24" s="2" t="s">
        <v>255</v>
      </c>
      <c r="K24" s="2" t="s">
        <v>42</v>
      </c>
      <c r="L24" s="2" t="s">
        <v>43</v>
      </c>
      <c r="M24" s="2" t="s">
        <v>44</v>
      </c>
      <c r="N24" s="2"/>
      <c r="O24" s="2" t="n">
        <v>7.882874</v>
      </c>
      <c r="P24" s="2" t="n">
        <v>98.387746</v>
      </c>
      <c r="Q24" s="2" t="s">
        <v>256</v>
      </c>
      <c r="R24" s="2"/>
      <c r="S24" s="2"/>
      <c r="T24" s="2"/>
      <c r="U24" s="2" t="s">
        <v>257</v>
      </c>
      <c r="V24" s="2"/>
      <c r="W24" s="2" t="s">
        <v>161</v>
      </c>
      <c r="X24" s="2"/>
      <c r="Y24" s="2" t="s">
        <v>48</v>
      </c>
      <c r="Z24" s="3" t="s">
        <v>258</v>
      </c>
      <c r="AA24" s="2" t="s">
        <v>40</v>
      </c>
      <c r="AB24" s="2" t="s">
        <v>50</v>
      </c>
      <c r="AC24" s="2" t="n">
        <v>0</v>
      </c>
      <c r="AD24" s="2" t="n">
        <v>832</v>
      </c>
      <c r="AE24" s="2" t="n">
        <v>1</v>
      </c>
      <c r="AF24" s="2"/>
      <c r="AG24" s="2" t="s">
        <v>259</v>
      </c>
      <c r="AH24" s="2" t="s">
        <v>260</v>
      </c>
      <c r="AI24" s="2" t="n">
        <v>0</v>
      </c>
    </row>
    <row r="25" customFormat="false" ht="15" hidden="false" customHeight="false" outlineLevel="0" collapsed="false">
      <c r="A25" s="2" t="n">
        <v>91768</v>
      </c>
      <c r="B25" s="2" t="s">
        <v>261</v>
      </c>
      <c r="C25" s="2"/>
      <c r="D25" s="2" t="s">
        <v>262</v>
      </c>
      <c r="E25" s="2" t="s">
        <v>117</v>
      </c>
      <c r="F25" s="2" t="s">
        <v>38</v>
      </c>
      <c r="G25" s="2" t="s">
        <v>39</v>
      </c>
      <c r="H25" s="2" t="s">
        <v>40</v>
      </c>
      <c r="I25" s="2" t="s">
        <v>40</v>
      </c>
      <c r="J25" s="2" t="s">
        <v>263</v>
      </c>
      <c r="K25" s="2" t="s">
        <v>42</v>
      </c>
      <c r="L25" s="2" t="s">
        <v>43</v>
      </c>
      <c r="M25" s="2" t="s">
        <v>44</v>
      </c>
      <c r="N25" s="2"/>
      <c r="O25" s="2" t="n">
        <v>7.8710897</v>
      </c>
      <c r="P25" s="2" t="n">
        <v>98.3845103</v>
      </c>
      <c r="Q25" s="2"/>
      <c r="R25" s="2" t="s">
        <v>264</v>
      </c>
      <c r="S25" s="2"/>
      <c r="T25" s="2"/>
      <c r="U25" s="2" t="s">
        <v>265</v>
      </c>
      <c r="V25" s="2"/>
      <c r="W25" s="2" t="s">
        <v>231</v>
      </c>
      <c r="X25" s="2"/>
      <c r="Y25" s="2" t="s">
        <v>48</v>
      </c>
      <c r="Z25" s="3" t="s">
        <v>266</v>
      </c>
      <c r="AA25" s="2" t="s">
        <v>40</v>
      </c>
      <c r="AB25" s="2" t="s">
        <v>50</v>
      </c>
      <c r="AC25" s="2" t="n">
        <v>0</v>
      </c>
      <c r="AD25" s="2" t="n">
        <v>633</v>
      </c>
      <c r="AE25" s="2" t="n">
        <v>0</v>
      </c>
      <c r="AF25" s="2"/>
      <c r="AG25" s="2" t="s">
        <v>267</v>
      </c>
      <c r="AH25" s="2" t="s">
        <v>268</v>
      </c>
      <c r="AI25" s="2" t="n">
        <v>0</v>
      </c>
    </row>
    <row r="26" customFormat="false" ht="15" hidden="false" customHeight="false" outlineLevel="0" collapsed="false">
      <c r="A26" s="2" t="n">
        <v>90890</v>
      </c>
      <c r="B26" s="2" t="s">
        <v>269</v>
      </c>
      <c r="C26" s="2"/>
      <c r="D26" s="2" t="s">
        <v>116</v>
      </c>
      <c r="E26" s="2" t="s">
        <v>37</v>
      </c>
      <c r="F26" s="2" t="s">
        <v>38</v>
      </c>
      <c r="G26" s="2" t="s">
        <v>40</v>
      </c>
      <c r="H26" s="2" t="s">
        <v>39</v>
      </c>
      <c r="I26" s="2" t="s">
        <v>40</v>
      </c>
      <c r="J26" s="2" t="s">
        <v>270</v>
      </c>
      <c r="K26" s="2" t="s">
        <v>42</v>
      </c>
      <c r="L26" s="2" t="s">
        <v>43</v>
      </c>
      <c r="M26" s="2" t="s">
        <v>44</v>
      </c>
      <c r="N26" s="2"/>
      <c r="O26" s="2" t="n">
        <v>7.8895193</v>
      </c>
      <c r="P26" s="2" t="n">
        <v>98.3866072</v>
      </c>
      <c r="Q26" s="2"/>
      <c r="R26" s="2" t="s">
        <v>271</v>
      </c>
      <c r="S26" s="2"/>
      <c r="T26" s="2"/>
      <c r="U26" s="2" t="s">
        <v>272</v>
      </c>
      <c r="V26" s="2"/>
      <c r="W26" s="2" t="s">
        <v>273</v>
      </c>
      <c r="X26" s="2"/>
      <c r="Y26" s="2" t="s">
        <v>48</v>
      </c>
      <c r="Z26" s="3" t="s">
        <v>274</v>
      </c>
      <c r="AA26" s="2" t="s">
        <v>40</v>
      </c>
      <c r="AB26" s="2" t="s">
        <v>50</v>
      </c>
      <c r="AC26" s="2" t="n">
        <v>0</v>
      </c>
      <c r="AD26" s="2" t="n">
        <v>542</v>
      </c>
      <c r="AE26" s="2" t="n">
        <v>0</v>
      </c>
      <c r="AF26" s="2"/>
      <c r="AG26" s="2" t="s">
        <v>275</v>
      </c>
      <c r="AH26" s="2" t="s">
        <v>276</v>
      </c>
      <c r="AI26" s="2" t="n">
        <v>0</v>
      </c>
    </row>
    <row r="27" customFormat="false" ht="15" hidden="false" customHeight="false" outlineLevel="0" collapsed="false">
      <c r="A27" s="2" t="n">
        <v>91179</v>
      </c>
      <c r="B27" s="2" t="s">
        <v>277</v>
      </c>
      <c r="C27" s="2"/>
      <c r="D27" s="2" t="s">
        <v>278</v>
      </c>
      <c r="E27" s="2" t="s">
        <v>279</v>
      </c>
      <c r="F27" s="2" t="s">
        <v>129</v>
      </c>
      <c r="G27" s="2" t="s">
        <v>39</v>
      </c>
      <c r="H27" s="2" t="s">
        <v>40</v>
      </c>
      <c r="I27" s="2" t="s">
        <v>40</v>
      </c>
      <c r="J27" s="2" t="s">
        <v>280</v>
      </c>
      <c r="K27" s="2" t="s">
        <v>108</v>
      </c>
      <c r="L27" s="2" t="s">
        <v>109</v>
      </c>
      <c r="M27" s="2" t="s">
        <v>44</v>
      </c>
      <c r="N27" s="2"/>
      <c r="O27" s="2" t="n">
        <v>7.888397</v>
      </c>
      <c r="P27" s="2" t="n">
        <v>98.296737</v>
      </c>
      <c r="Q27" s="2" t="s">
        <v>281</v>
      </c>
      <c r="R27" s="2"/>
      <c r="S27" s="2"/>
      <c r="T27" s="2"/>
      <c r="U27" s="2" t="s">
        <v>282</v>
      </c>
      <c r="V27" s="2"/>
      <c r="W27" s="2" t="s">
        <v>283</v>
      </c>
      <c r="X27" s="2"/>
      <c r="Y27" s="2" t="s">
        <v>48</v>
      </c>
      <c r="Z27" s="3" t="s">
        <v>284</v>
      </c>
      <c r="AA27" s="2" t="s">
        <v>40</v>
      </c>
      <c r="AB27" s="2" t="s">
        <v>50</v>
      </c>
      <c r="AC27" s="2" t="n">
        <v>0</v>
      </c>
      <c r="AD27" s="2" t="n">
        <v>661</v>
      </c>
      <c r="AE27" s="2" t="n">
        <v>1</v>
      </c>
      <c r="AF27" s="2"/>
      <c r="AG27" s="2" t="s">
        <v>285</v>
      </c>
      <c r="AH27" s="2" t="s">
        <v>286</v>
      </c>
      <c r="AI27" s="2" t="n">
        <v>0</v>
      </c>
    </row>
    <row r="28" customFormat="false" ht="15" hidden="false" customHeight="false" outlineLevel="0" collapsed="false">
      <c r="A28" s="2" t="n">
        <v>91129</v>
      </c>
      <c r="B28" s="2" t="s">
        <v>287</v>
      </c>
      <c r="C28" s="2"/>
      <c r="D28" s="2" t="s">
        <v>288</v>
      </c>
      <c r="E28" s="2" t="s">
        <v>55</v>
      </c>
      <c r="F28" s="2" t="s">
        <v>38</v>
      </c>
      <c r="G28" s="2" t="s">
        <v>39</v>
      </c>
      <c r="H28" s="2" t="s">
        <v>40</v>
      </c>
      <c r="I28" s="2" t="s">
        <v>40</v>
      </c>
      <c r="J28" s="2" t="s">
        <v>289</v>
      </c>
      <c r="K28" s="2" t="s">
        <v>109</v>
      </c>
      <c r="L28" s="2" t="s">
        <v>109</v>
      </c>
      <c r="M28" s="2" t="s">
        <v>44</v>
      </c>
      <c r="N28" s="2"/>
      <c r="O28" s="2" t="n">
        <v>7.8990271</v>
      </c>
      <c r="P28" s="2" t="n">
        <v>98.3512719</v>
      </c>
      <c r="Q28" s="2"/>
      <c r="R28" s="2" t="s">
        <v>290</v>
      </c>
      <c r="S28" s="2"/>
      <c r="T28" s="2"/>
      <c r="U28" s="2" t="s">
        <v>291</v>
      </c>
      <c r="V28" s="2"/>
      <c r="W28" s="2" t="s">
        <v>292</v>
      </c>
      <c r="X28" s="2"/>
      <c r="Y28" s="2" t="s">
        <v>48</v>
      </c>
      <c r="Z28" s="3" t="s">
        <v>293</v>
      </c>
      <c r="AA28" s="2" t="s">
        <v>40</v>
      </c>
      <c r="AB28" s="2" t="s">
        <v>50</v>
      </c>
      <c r="AC28" s="2" t="n">
        <v>0</v>
      </c>
      <c r="AD28" s="2" t="n">
        <v>739</v>
      </c>
      <c r="AE28" s="2" t="n">
        <v>0</v>
      </c>
      <c r="AF28" s="2"/>
      <c r="AG28" s="2" t="s">
        <v>294</v>
      </c>
      <c r="AH28" s="2" t="s">
        <v>295</v>
      </c>
      <c r="AI28" s="2" t="n">
        <v>0</v>
      </c>
    </row>
    <row r="29" customFormat="false" ht="15" hidden="false" customHeight="false" outlineLevel="0" collapsed="false">
      <c r="A29" s="2" t="n">
        <v>91313</v>
      </c>
      <c r="B29" s="2" t="s">
        <v>296</v>
      </c>
      <c r="C29" s="2"/>
      <c r="D29" s="2" t="s">
        <v>297</v>
      </c>
      <c r="E29" s="2" t="s">
        <v>117</v>
      </c>
      <c r="F29" s="2" t="s">
        <v>118</v>
      </c>
      <c r="G29" s="2" t="s">
        <v>39</v>
      </c>
      <c r="H29" s="2" t="s">
        <v>40</v>
      </c>
      <c r="I29" s="2" t="s">
        <v>40</v>
      </c>
      <c r="J29" s="2" t="s">
        <v>298</v>
      </c>
      <c r="K29" s="2" t="s">
        <v>42</v>
      </c>
      <c r="L29" s="2" t="s">
        <v>43</v>
      </c>
      <c r="M29" s="2" t="s">
        <v>44</v>
      </c>
      <c r="N29" s="2"/>
      <c r="O29" s="2" t="n">
        <v>7.88152</v>
      </c>
      <c r="P29" s="2" t="n">
        <v>98.382403</v>
      </c>
      <c r="Q29" s="2"/>
      <c r="R29" s="2" t="s">
        <v>299</v>
      </c>
      <c r="S29" s="2"/>
      <c r="T29" s="2"/>
      <c r="U29" s="2" t="s">
        <v>300</v>
      </c>
      <c r="V29" s="2"/>
      <c r="W29" s="2" t="s">
        <v>301</v>
      </c>
      <c r="X29" s="2"/>
      <c r="Y29" s="2" t="s">
        <v>48</v>
      </c>
      <c r="Z29" s="3" t="s">
        <v>302</v>
      </c>
      <c r="AA29" s="2" t="s">
        <v>40</v>
      </c>
      <c r="AB29" s="2" t="s">
        <v>50</v>
      </c>
      <c r="AC29" s="2" t="n">
        <v>0</v>
      </c>
      <c r="AD29" s="2" t="n">
        <v>869</v>
      </c>
      <c r="AE29" s="2" t="n">
        <v>0</v>
      </c>
      <c r="AF29" s="2"/>
      <c r="AG29" s="2" t="s">
        <v>303</v>
      </c>
      <c r="AH29" s="2" t="s">
        <v>304</v>
      </c>
      <c r="AI29" s="2" t="n">
        <v>0</v>
      </c>
    </row>
    <row r="30" customFormat="false" ht="15" hidden="false" customHeight="false" outlineLevel="0" collapsed="false">
      <c r="A30" s="2" t="n">
        <v>90926</v>
      </c>
      <c r="B30" s="2" t="s">
        <v>305</v>
      </c>
      <c r="C30" s="2"/>
      <c r="D30" s="2" t="s">
        <v>157</v>
      </c>
      <c r="E30" s="2" t="s">
        <v>55</v>
      </c>
      <c r="F30" s="2" t="s">
        <v>38</v>
      </c>
      <c r="G30" s="2" t="s">
        <v>39</v>
      </c>
      <c r="H30" s="2" t="s">
        <v>40</v>
      </c>
      <c r="I30" s="2" t="s">
        <v>40</v>
      </c>
      <c r="J30" s="2" t="s">
        <v>306</v>
      </c>
      <c r="K30" s="2" t="s">
        <v>42</v>
      </c>
      <c r="L30" s="2" t="s">
        <v>43</v>
      </c>
      <c r="M30" s="2" t="s">
        <v>44</v>
      </c>
      <c r="N30" s="2"/>
      <c r="O30" s="2" t="n">
        <v>7.884665</v>
      </c>
      <c r="P30" s="2" t="n">
        <v>98.387326</v>
      </c>
      <c r="Q30" s="2"/>
      <c r="R30" s="2" t="s">
        <v>307</v>
      </c>
      <c r="S30" s="2"/>
      <c r="T30" s="2"/>
      <c r="U30" s="2" t="s">
        <v>308</v>
      </c>
      <c r="V30" s="2"/>
      <c r="W30" s="2" t="s">
        <v>309</v>
      </c>
      <c r="X30" s="2"/>
      <c r="Y30" s="2" t="s">
        <v>48</v>
      </c>
      <c r="Z30" s="3" t="s">
        <v>310</v>
      </c>
      <c r="AA30" s="2" t="s">
        <v>40</v>
      </c>
      <c r="AB30" s="2" t="s">
        <v>50</v>
      </c>
      <c r="AC30" s="2" t="n">
        <v>0</v>
      </c>
      <c r="AD30" s="2" t="n">
        <v>704</v>
      </c>
      <c r="AE30" s="2" t="n">
        <v>0</v>
      </c>
      <c r="AF30" s="2"/>
      <c r="AG30" s="2" t="s">
        <v>311</v>
      </c>
      <c r="AH30" s="2" t="s">
        <v>312</v>
      </c>
      <c r="AI30" s="2" t="n">
        <v>0</v>
      </c>
    </row>
    <row r="31" customFormat="false" ht="15" hidden="false" customHeight="false" outlineLevel="0" collapsed="false">
      <c r="A31" s="2" t="n">
        <v>91458</v>
      </c>
      <c r="B31" s="2" t="s">
        <v>313</v>
      </c>
      <c r="C31" s="2"/>
      <c r="D31" s="2" t="s">
        <v>314</v>
      </c>
      <c r="E31" s="2" t="s">
        <v>55</v>
      </c>
      <c r="F31" s="2" t="s">
        <v>38</v>
      </c>
      <c r="G31" s="2" t="s">
        <v>39</v>
      </c>
      <c r="H31" s="2" t="s">
        <v>40</v>
      </c>
      <c r="I31" s="2" t="s">
        <v>40</v>
      </c>
      <c r="J31" s="2" t="s">
        <v>315</v>
      </c>
      <c r="K31" s="2" t="s">
        <v>42</v>
      </c>
      <c r="L31" s="2" t="s">
        <v>43</v>
      </c>
      <c r="M31" s="2" t="s">
        <v>44</v>
      </c>
      <c r="N31" s="2"/>
      <c r="O31" s="2" t="n">
        <v>7.885528</v>
      </c>
      <c r="P31" s="2" t="n">
        <v>98.387461</v>
      </c>
      <c r="Q31" s="2"/>
      <c r="R31" s="2" t="s">
        <v>316</v>
      </c>
      <c r="S31" s="2"/>
      <c r="T31" s="2"/>
      <c r="U31" s="2" t="s">
        <v>317</v>
      </c>
      <c r="V31" s="2"/>
      <c r="W31" s="2" t="s">
        <v>318</v>
      </c>
      <c r="X31" s="2"/>
      <c r="Y31" s="2" t="s">
        <v>48</v>
      </c>
      <c r="Z31" s="3" t="s">
        <v>319</v>
      </c>
      <c r="AA31" s="2" t="s">
        <v>40</v>
      </c>
      <c r="AB31" s="2" t="s">
        <v>50</v>
      </c>
      <c r="AC31" s="2" t="n">
        <v>0</v>
      </c>
      <c r="AD31" s="2" t="n">
        <v>667</v>
      </c>
      <c r="AE31" s="2" t="n">
        <v>0</v>
      </c>
      <c r="AF31" s="2"/>
      <c r="AG31" s="2" t="s">
        <v>320</v>
      </c>
      <c r="AH31" s="2" t="s">
        <v>321</v>
      </c>
      <c r="AI31" s="2" t="n">
        <v>0</v>
      </c>
    </row>
    <row r="32" customFormat="false" ht="15" hidden="false" customHeight="false" outlineLevel="0" collapsed="false">
      <c r="A32" s="2" t="n">
        <v>91178</v>
      </c>
      <c r="B32" s="2" t="s">
        <v>322</v>
      </c>
      <c r="C32" s="2"/>
      <c r="D32" s="2" t="s">
        <v>323</v>
      </c>
      <c r="E32" s="2" t="s">
        <v>37</v>
      </c>
      <c r="F32" s="2" t="s">
        <v>38</v>
      </c>
      <c r="G32" s="2" t="s">
        <v>39</v>
      </c>
      <c r="H32" s="2" t="s">
        <v>40</v>
      </c>
      <c r="I32" s="2" t="s">
        <v>40</v>
      </c>
      <c r="J32" s="2" t="s">
        <v>324</v>
      </c>
      <c r="K32" s="2" t="s">
        <v>42</v>
      </c>
      <c r="L32" s="2" t="s">
        <v>43</v>
      </c>
      <c r="M32" s="2" t="s">
        <v>44</v>
      </c>
      <c r="N32" s="2"/>
      <c r="O32" s="2" t="n">
        <v>7.886282</v>
      </c>
      <c r="P32" s="2" t="n">
        <v>98.387486</v>
      </c>
      <c r="Q32" s="2"/>
      <c r="R32" s="2" t="s">
        <v>325</v>
      </c>
      <c r="S32" s="2"/>
      <c r="T32" s="2"/>
      <c r="U32" s="2" t="s">
        <v>326</v>
      </c>
      <c r="V32" s="2"/>
      <c r="W32" s="2" t="s">
        <v>231</v>
      </c>
      <c r="X32" s="2"/>
      <c r="Y32" s="2" t="s">
        <v>48</v>
      </c>
      <c r="Z32" s="3" t="s">
        <v>327</v>
      </c>
      <c r="AA32" s="2" t="s">
        <v>40</v>
      </c>
      <c r="AB32" s="2" t="s">
        <v>50</v>
      </c>
      <c r="AC32" s="2" t="n">
        <v>0</v>
      </c>
      <c r="AD32" s="2" t="n">
        <v>718</v>
      </c>
      <c r="AE32" s="2" t="n">
        <v>1</v>
      </c>
      <c r="AF32" s="2"/>
      <c r="AG32" s="2" t="s">
        <v>328</v>
      </c>
      <c r="AH32" s="2" t="s">
        <v>329</v>
      </c>
      <c r="AI32" s="2" t="n">
        <v>0</v>
      </c>
    </row>
    <row r="33" customFormat="false" ht="15" hidden="false" customHeight="false" outlineLevel="0" collapsed="false">
      <c r="A33" s="2" t="n">
        <v>91934</v>
      </c>
      <c r="B33" s="2" t="s">
        <v>330</v>
      </c>
      <c r="C33" s="2"/>
      <c r="D33" s="2" t="s">
        <v>331</v>
      </c>
      <c r="E33" s="2" t="s">
        <v>37</v>
      </c>
      <c r="F33" s="2" t="s">
        <v>38</v>
      </c>
      <c r="G33" s="2" t="s">
        <v>39</v>
      </c>
      <c r="H33" s="2" t="s">
        <v>40</v>
      </c>
      <c r="I33" s="2" t="s">
        <v>40</v>
      </c>
      <c r="J33" s="2" t="s">
        <v>332</v>
      </c>
      <c r="K33" s="2" t="s">
        <v>333</v>
      </c>
      <c r="L33" s="2" t="s">
        <v>58</v>
      </c>
      <c r="M33" s="2" t="s">
        <v>44</v>
      </c>
      <c r="N33" s="2"/>
      <c r="O33" s="2" t="n">
        <v>8.000208</v>
      </c>
      <c r="P33" s="2" t="n">
        <v>98.391663</v>
      </c>
      <c r="Q33" s="2"/>
      <c r="R33" s="2" t="s">
        <v>334</v>
      </c>
      <c r="S33" s="2"/>
      <c r="T33" s="2"/>
      <c r="U33" s="2" t="s">
        <v>335</v>
      </c>
      <c r="V33" s="2"/>
      <c r="W33" s="2" t="s">
        <v>336</v>
      </c>
      <c r="X33" s="2"/>
      <c r="Y33" s="2" t="s">
        <v>48</v>
      </c>
      <c r="Z33" s="3" t="s">
        <v>337</v>
      </c>
      <c r="AA33" s="2" t="s">
        <v>40</v>
      </c>
      <c r="AB33" s="2" t="s">
        <v>50</v>
      </c>
      <c r="AC33" s="2" t="n">
        <v>0</v>
      </c>
      <c r="AD33" s="2" t="n">
        <v>581</v>
      </c>
      <c r="AE33" s="2" t="n">
        <v>0</v>
      </c>
      <c r="AF33" s="2"/>
      <c r="AG33" s="2" t="s">
        <v>338</v>
      </c>
      <c r="AH33" s="2" t="s">
        <v>339</v>
      </c>
      <c r="AI33" s="2" t="n">
        <v>0</v>
      </c>
    </row>
    <row r="34" customFormat="false" ht="15" hidden="false" customHeight="false" outlineLevel="0" collapsed="false">
      <c r="A34" s="2" t="n">
        <v>91167</v>
      </c>
      <c r="B34" s="2" t="s">
        <v>340</v>
      </c>
      <c r="C34" s="2"/>
      <c r="D34" s="2" t="s">
        <v>184</v>
      </c>
      <c r="E34" s="2" t="s">
        <v>117</v>
      </c>
      <c r="F34" s="2" t="s">
        <v>38</v>
      </c>
      <c r="G34" s="2" t="s">
        <v>39</v>
      </c>
      <c r="H34" s="2" t="s">
        <v>40</v>
      </c>
      <c r="I34" s="2" t="s">
        <v>40</v>
      </c>
      <c r="J34" s="2" t="s">
        <v>87</v>
      </c>
      <c r="K34" s="2" t="s">
        <v>88</v>
      </c>
      <c r="L34" s="2" t="s">
        <v>43</v>
      </c>
      <c r="M34" s="2" t="s">
        <v>44</v>
      </c>
      <c r="N34" s="2"/>
      <c r="O34" s="2" t="n">
        <v>7.788016</v>
      </c>
      <c r="P34" s="2" t="n">
        <v>98.317091</v>
      </c>
      <c r="Q34" s="2"/>
      <c r="R34" s="2" t="s">
        <v>341</v>
      </c>
      <c r="S34" s="2"/>
      <c r="T34" s="2"/>
      <c r="U34" s="2" t="s">
        <v>342</v>
      </c>
      <c r="V34" s="2"/>
      <c r="W34" s="2" t="s">
        <v>343</v>
      </c>
      <c r="X34" s="2"/>
      <c r="Y34" s="2" t="s">
        <v>48</v>
      </c>
      <c r="Z34" s="3" t="s">
        <v>344</v>
      </c>
      <c r="AA34" s="2" t="s">
        <v>40</v>
      </c>
      <c r="AB34" s="2" t="s">
        <v>50</v>
      </c>
      <c r="AC34" s="2" t="n">
        <v>0</v>
      </c>
      <c r="AD34" s="2" t="n">
        <v>676</v>
      </c>
      <c r="AE34" s="2" t="n">
        <v>0</v>
      </c>
      <c r="AF34" s="2"/>
      <c r="AG34" s="2" t="s">
        <v>345</v>
      </c>
      <c r="AH34" s="2" t="s">
        <v>346</v>
      </c>
      <c r="AI34" s="2" t="n">
        <v>0</v>
      </c>
    </row>
    <row r="35" customFormat="false" ht="15" hidden="false" customHeight="false" outlineLevel="0" collapsed="false">
      <c r="A35" s="2" t="n">
        <v>90826</v>
      </c>
      <c r="B35" s="2" t="s">
        <v>347</v>
      </c>
      <c r="C35" s="2"/>
      <c r="D35" s="2" t="s">
        <v>184</v>
      </c>
      <c r="E35" s="2" t="s">
        <v>37</v>
      </c>
      <c r="F35" s="2" t="s">
        <v>129</v>
      </c>
      <c r="G35" s="2" t="s">
        <v>39</v>
      </c>
      <c r="H35" s="2" t="s">
        <v>40</v>
      </c>
      <c r="I35" s="2" t="s">
        <v>40</v>
      </c>
      <c r="J35" s="2" t="s">
        <v>348</v>
      </c>
      <c r="K35" s="2" t="s">
        <v>78</v>
      </c>
      <c r="L35" s="2" t="s">
        <v>43</v>
      </c>
      <c r="M35" s="2" t="s">
        <v>44</v>
      </c>
      <c r="N35" s="2"/>
      <c r="O35" s="2" t="n">
        <v>7.80513</v>
      </c>
      <c r="P35" s="2" t="n">
        <v>98.4060953</v>
      </c>
      <c r="Q35" s="2" t="s">
        <v>349</v>
      </c>
      <c r="R35" s="2"/>
      <c r="S35" s="2"/>
      <c r="T35" s="2"/>
      <c r="U35" s="2" t="s">
        <v>350</v>
      </c>
      <c r="V35" s="2"/>
      <c r="W35" s="2" t="s">
        <v>351</v>
      </c>
      <c r="X35" s="2"/>
      <c r="Y35" s="2" t="s">
        <v>48</v>
      </c>
      <c r="Z35" s="3" t="s">
        <v>352</v>
      </c>
      <c r="AA35" s="2" t="s">
        <v>40</v>
      </c>
      <c r="AB35" s="2" t="s">
        <v>50</v>
      </c>
      <c r="AC35" s="2" t="n">
        <v>0</v>
      </c>
      <c r="AD35" s="2" t="n">
        <v>592</v>
      </c>
      <c r="AE35" s="2" t="n">
        <v>1</v>
      </c>
      <c r="AF35" s="2"/>
      <c r="AG35" s="2" t="s">
        <v>353</v>
      </c>
      <c r="AH35" s="2" t="s">
        <v>354</v>
      </c>
      <c r="AI35" s="2" t="n">
        <v>0</v>
      </c>
    </row>
    <row r="36" customFormat="false" ht="15" hidden="false" customHeight="false" outlineLevel="0" collapsed="false">
      <c r="A36" s="2" t="n">
        <v>90848</v>
      </c>
      <c r="B36" s="2" t="s">
        <v>355</v>
      </c>
      <c r="C36" s="2"/>
      <c r="D36" s="2" t="s">
        <v>116</v>
      </c>
      <c r="E36" s="2" t="s">
        <v>117</v>
      </c>
      <c r="F36" s="2" t="s">
        <v>38</v>
      </c>
      <c r="G36" s="2" t="s">
        <v>39</v>
      </c>
      <c r="H36" s="2" t="s">
        <v>40</v>
      </c>
      <c r="I36" s="2" t="s">
        <v>40</v>
      </c>
      <c r="J36" s="2" t="s">
        <v>356</v>
      </c>
      <c r="K36" s="2" t="s">
        <v>42</v>
      </c>
      <c r="L36" s="2" t="s">
        <v>43</v>
      </c>
      <c r="M36" s="2" t="s">
        <v>44</v>
      </c>
      <c r="N36" s="2"/>
      <c r="O36" s="2" t="n">
        <v>7.8849906</v>
      </c>
      <c r="P36" s="2" t="n">
        <v>98.3868677</v>
      </c>
      <c r="Q36" s="2"/>
      <c r="R36" s="2" t="s">
        <v>357</v>
      </c>
      <c r="S36" s="2"/>
      <c r="T36" s="2"/>
      <c r="U36" s="2" t="s">
        <v>358</v>
      </c>
      <c r="V36" s="2"/>
      <c r="W36" s="2" t="s">
        <v>359</v>
      </c>
      <c r="X36" s="2"/>
      <c r="Y36" s="2" t="s">
        <v>48</v>
      </c>
      <c r="Z36" s="3" t="s">
        <v>360</v>
      </c>
      <c r="AA36" s="2" t="s">
        <v>40</v>
      </c>
      <c r="AB36" s="2" t="s">
        <v>50</v>
      </c>
      <c r="AC36" s="2" t="n">
        <v>0</v>
      </c>
      <c r="AD36" s="2" t="n">
        <v>1035</v>
      </c>
      <c r="AE36" s="2" t="n">
        <v>1</v>
      </c>
      <c r="AF36" s="2"/>
      <c r="AG36" s="2" t="s">
        <v>361</v>
      </c>
      <c r="AH36" s="2" t="s">
        <v>362</v>
      </c>
      <c r="AI36" s="2" t="n">
        <v>0</v>
      </c>
    </row>
    <row r="37" customFormat="false" ht="15" hidden="false" customHeight="false" outlineLevel="0" collapsed="false">
      <c r="A37" s="2" t="n">
        <v>91740</v>
      </c>
      <c r="B37" s="2" t="s">
        <v>363</v>
      </c>
      <c r="C37" s="2"/>
      <c r="D37" s="2" t="s">
        <v>364</v>
      </c>
      <c r="E37" s="2" t="s">
        <v>37</v>
      </c>
      <c r="F37" s="2" t="s">
        <v>106</v>
      </c>
      <c r="G37" s="2" t="s">
        <v>39</v>
      </c>
      <c r="H37" s="2" t="s">
        <v>40</v>
      </c>
      <c r="I37" s="2" t="s">
        <v>40</v>
      </c>
      <c r="J37" s="2" t="s">
        <v>365</v>
      </c>
      <c r="K37" s="2" t="s">
        <v>57</v>
      </c>
      <c r="L37" s="2" t="s">
        <v>58</v>
      </c>
      <c r="M37" s="2" t="s">
        <v>44</v>
      </c>
      <c r="N37" s="2"/>
      <c r="O37" s="2" t="n">
        <v>8.012213</v>
      </c>
      <c r="P37" s="2" t="n">
        <v>98.316504</v>
      </c>
      <c r="Q37" s="2"/>
      <c r="R37" s="2" t="s">
        <v>366</v>
      </c>
      <c r="S37" s="2"/>
      <c r="T37" s="2"/>
      <c r="U37" s="2" t="s">
        <v>367</v>
      </c>
      <c r="V37" s="2"/>
      <c r="W37" s="2" t="s">
        <v>368</v>
      </c>
      <c r="X37" s="2"/>
      <c r="Y37" s="2" t="s">
        <v>48</v>
      </c>
      <c r="Z37" s="3" t="s">
        <v>369</v>
      </c>
      <c r="AA37" s="2" t="s">
        <v>40</v>
      </c>
      <c r="AB37" s="2" t="s">
        <v>50</v>
      </c>
      <c r="AC37" s="2" t="n">
        <v>0</v>
      </c>
      <c r="AD37" s="2" t="n">
        <v>1075</v>
      </c>
      <c r="AE37" s="2" t="n">
        <v>1</v>
      </c>
      <c r="AF37" s="2"/>
      <c r="AG37" s="2" t="s">
        <v>370</v>
      </c>
      <c r="AH37" s="2" t="s">
        <v>371</v>
      </c>
      <c r="AI37" s="2" t="n">
        <v>0</v>
      </c>
    </row>
    <row r="38" customFormat="false" ht="15" hidden="false" customHeight="false" outlineLevel="0" collapsed="false">
      <c r="A38" s="2" t="n">
        <v>90898</v>
      </c>
      <c r="B38" s="2" t="s">
        <v>372</v>
      </c>
      <c r="C38" s="2"/>
      <c r="D38" s="2" t="s">
        <v>373</v>
      </c>
      <c r="E38" s="2" t="s">
        <v>37</v>
      </c>
      <c r="F38" s="2" t="s">
        <v>38</v>
      </c>
      <c r="G38" s="2" t="s">
        <v>39</v>
      </c>
      <c r="H38" s="2" t="s">
        <v>40</v>
      </c>
      <c r="I38" s="2" t="s">
        <v>40</v>
      </c>
      <c r="J38" s="2" t="s">
        <v>374</v>
      </c>
      <c r="K38" s="2" t="s">
        <v>68</v>
      </c>
      <c r="L38" s="2" t="s">
        <v>43</v>
      </c>
      <c r="M38" s="2" t="s">
        <v>44</v>
      </c>
      <c r="N38" s="2"/>
      <c r="O38" s="2" t="n">
        <v>7.88396</v>
      </c>
      <c r="P38" s="2" t="n">
        <v>98.3907354</v>
      </c>
      <c r="Q38" s="2" t="s">
        <v>375</v>
      </c>
      <c r="R38" s="2"/>
      <c r="S38" s="2"/>
      <c r="T38" s="2"/>
      <c r="U38" s="2" t="s">
        <v>376</v>
      </c>
      <c r="V38" s="2"/>
      <c r="W38" s="2" t="s">
        <v>377</v>
      </c>
      <c r="X38" s="2"/>
      <c r="Y38" s="2" t="s">
        <v>48</v>
      </c>
      <c r="Z38" s="3" t="s">
        <v>378</v>
      </c>
      <c r="AA38" s="2" t="s">
        <v>40</v>
      </c>
      <c r="AB38" s="2" t="s">
        <v>50</v>
      </c>
      <c r="AC38" s="2" t="n">
        <v>0</v>
      </c>
      <c r="AD38" s="2" t="n">
        <v>572</v>
      </c>
      <c r="AE38" s="2" t="n">
        <v>0</v>
      </c>
      <c r="AF38" s="2"/>
      <c r="AG38" s="2" t="s">
        <v>379</v>
      </c>
      <c r="AH38" s="2" t="s">
        <v>380</v>
      </c>
      <c r="AI38" s="2" t="n">
        <v>0</v>
      </c>
    </row>
    <row r="39" customFormat="false" ht="15" hidden="false" customHeight="false" outlineLevel="0" collapsed="false">
      <c r="A39" s="2" t="n">
        <v>91407</v>
      </c>
      <c r="B39" s="2" t="s">
        <v>381</v>
      </c>
      <c r="C39" s="2"/>
      <c r="D39" s="2" t="s">
        <v>116</v>
      </c>
      <c r="E39" s="2" t="s">
        <v>37</v>
      </c>
      <c r="F39" s="2" t="s">
        <v>38</v>
      </c>
      <c r="G39" s="2" t="s">
        <v>39</v>
      </c>
      <c r="H39" s="2" t="s">
        <v>40</v>
      </c>
      <c r="I39" s="2" t="s">
        <v>40</v>
      </c>
      <c r="J39" s="2" t="s">
        <v>382</v>
      </c>
      <c r="K39" s="2" t="s">
        <v>131</v>
      </c>
      <c r="L39" s="2" t="s">
        <v>58</v>
      </c>
      <c r="M39" s="2" t="s">
        <v>44</v>
      </c>
      <c r="N39" s="2"/>
      <c r="O39" s="2" t="n">
        <v>8.1014046</v>
      </c>
      <c r="P39" s="2" t="n">
        <v>98.304766</v>
      </c>
      <c r="Q39" s="2" t="s">
        <v>383</v>
      </c>
      <c r="R39" s="2"/>
      <c r="S39" s="2"/>
      <c r="T39" s="2"/>
      <c r="U39" s="2" t="s">
        <v>384</v>
      </c>
      <c r="V39" s="2"/>
      <c r="W39" s="2" t="s">
        <v>385</v>
      </c>
      <c r="X39" s="2"/>
      <c r="Y39" s="2" t="s">
        <v>48</v>
      </c>
      <c r="Z39" s="3" t="s">
        <v>386</v>
      </c>
      <c r="AA39" s="2" t="s">
        <v>40</v>
      </c>
      <c r="AB39" s="2" t="s">
        <v>50</v>
      </c>
      <c r="AC39" s="2" t="n">
        <v>0</v>
      </c>
      <c r="AD39" s="2" t="n">
        <v>672</v>
      </c>
      <c r="AE39" s="2" t="n">
        <v>1</v>
      </c>
      <c r="AF39" s="2"/>
      <c r="AG39" s="2" t="s">
        <v>387</v>
      </c>
      <c r="AH39" s="2" t="s">
        <v>388</v>
      </c>
      <c r="AI39" s="2" t="n">
        <v>0</v>
      </c>
    </row>
    <row r="40" customFormat="false" ht="15" hidden="false" customHeight="false" outlineLevel="0" collapsed="false">
      <c r="A40" s="2" t="n">
        <v>91789</v>
      </c>
      <c r="B40" s="2" t="s">
        <v>389</v>
      </c>
      <c r="C40" s="2"/>
      <c r="D40" s="2" t="s">
        <v>262</v>
      </c>
      <c r="E40" s="2" t="s">
        <v>117</v>
      </c>
      <c r="F40" s="2" t="s">
        <v>38</v>
      </c>
      <c r="G40" s="2" t="s">
        <v>39</v>
      </c>
      <c r="H40" s="2" t="s">
        <v>40</v>
      </c>
      <c r="I40" s="2" t="s">
        <v>40</v>
      </c>
      <c r="J40" s="2" t="s">
        <v>390</v>
      </c>
      <c r="K40" s="2" t="s">
        <v>42</v>
      </c>
      <c r="L40" s="2" t="s">
        <v>43</v>
      </c>
      <c r="M40" s="2" t="s">
        <v>44</v>
      </c>
      <c r="N40" s="2"/>
      <c r="O40" s="2" t="n">
        <v>7.8848903</v>
      </c>
      <c r="P40" s="2" t="n">
        <v>98.3874702</v>
      </c>
      <c r="Q40" s="2"/>
      <c r="R40" s="2" t="s">
        <v>391</v>
      </c>
      <c r="S40" s="2"/>
      <c r="T40" s="2"/>
      <c r="U40" s="2" t="s">
        <v>392</v>
      </c>
      <c r="V40" s="2"/>
      <c r="W40" s="2" t="s">
        <v>393</v>
      </c>
      <c r="X40" s="2"/>
      <c r="Y40" s="2" t="s">
        <v>48</v>
      </c>
      <c r="Z40" s="3" t="s">
        <v>394</v>
      </c>
      <c r="AA40" s="2" t="s">
        <v>40</v>
      </c>
      <c r="AB40" s="2" t="s">
        <v>50</v>
      </c>
      <c r="AC40" s="2" t="n">
        <v>0</v>
      </c>
      <c r="AD40" s="2" t="n">
        <v>743</v>
      </c>
      <c r="AE40" s="2" t="n">
        <v>0</v>
      </c>
      <c r="AF40" s="2"/>
      <c r="AG40" s="2" t="s">
        <v>395</v>
      </c>
      <c r="AH40" s="2" t="s">
        <v>396</v>
      </c>
      <c r="AI40" s="2" t="n">
        <v>0</v>
      </c>
    </row>
    <row r="41" customFormat="false" ht="15" hidden="false" customHeight="false" outlineLevel="0" collapsed="false">
      <c r="A41" s="2" t="n">
        <v>91319</v>
      </c>
      <c r="B41" s="2" t="s">
        <v>397</v>
      </c>
      <c r="C41" s="2"/>
      <c r="D41" s="2" t="s">
        <v>246</v>
      </c>
      <c r="E41" s="2" t="s">
        <v>55</v>
      </c>
      <c r="F41" s="2" t="s">
        <v>129</v>
      </c>
      <c r="G41" s="2" t="s">
        <v>39</v>
      </c>
      <c r="H41" s="2" t="s">
        <v>40</v>
      </c>
      <c r="I41" s="2" t="s">
        <v>40</v>
      </c>
      <c r="J41" s="2" t="s">
        <v>398</v>
      </c>
      <c r="K41" s="2" t="s">
        <v>399</v>
      </c>
      <c r="L41" s="2" t="s">
        <v>43</v>
      </c>
      <c r="M41" s="2" t="s">
        <v>44</v>
      </c>
      <c r="N41" s="2"/>
      <c r="O41" s="2" t="n">
        <v>7.823116</v>
      </c>
      <c r="P41" s="2" t="n">
        <v>98.299912</v>
      </c>
      <c r="Q41" s="2" t="s">
        <v>400</v>
      </c>
      <c r="R41" s="2"/>
      <c r="S41" s="2"/>
      <c r="T41" s="2"/>
      <c r="U41" s="2" t="s">
        <v>401</v>
      </c>
      <c r="V41" s="2"/>
      <c r="W41" s="2" t="s">
        <v>249</v>
      </c>
      <c r="X41" s="2"/>
      <c r="Y41" s="2" t="s">
        <v>48</v>
      </c>
      <c r="Z41" s="3" t="s">
        <v>402</v>
      </c>
      <c r="AA41" s="2" t="s">
        <v>40</v>
      </c>
      <c r="AB41" s="2" t="s">
        <v>50</v>
      </c>
      <c r="AC41" s="2" t="n">
        <v>0</v>
      </c>
      <c r="AD41" s="2" t="n">
        <v>680</v>
      </c>
      <c r="AE41" s="2" t="n">
        <v>1</v>
      </c>
      <c r="AF41" s="2"/>
      <c r="AG41" s="2" t="s">
        <v>403</v>
      </c>
      <c r="AH41" s="2" t="s">
        <v>404</v>
      </c>
      <c r="AI41" s="2" t="n">
        <v>0</v>
      </c>
    </row>
    <row r="42" customFormat="false" ht="15" hidden="false" customHeight="false" outlineLevel="0" collapsed="false">
      <c r="A42" s="2" t="n">
        <v>90820</v>
      </c>
      <c r="B42" s="2" t="s">
        <v>405</v>
      </c>
      <c r="C42" s="2"/>
      <c r="D42" s="2" t="s">
        <v>406</v>
      </c>
      <c r="E42" s="2" t="s">
        <v>37</v>
      </c>
      <c r="F42" s="2" t="s">
        <v>38</v>
      </c>
      <c r="G42" s="2" t="s">
        <v>39</v>
      </c>
      <c r="H42" s="2" t="s">
        <v>40</v>
      </c>
      <c r="I42" s="2" t="s">
        <v>40</v>
      </c>
      <c r="J42" s="2" t="s">
        <v>407</v>
      </c>
      <c r="K42" s="2" t="s">
        <v>78</v>
      </c>
      <c r="L42" s="2" t="s">
        <v>43</v>
      </c>
      <c r="M42" s="2" t="s">
        <v>44</v>
      </c>
      <c r="N42" s="2"/>
      <c r="O42" s="2" t="n">
        <v>7.8862755</v>
      </c>
      <c r="P42" s="2" t="n">
        <v>98.3759232</v>
      </c>
      <c r="Q42" s="2"/>
      <c r="R42" s="2" t="s">
        <v>408</v>
      </c>
      <c r="S42" s="2"/>
      <c r="T42" s="2"/>
      <c r="U42" s="2" t="s">
        <v>409</v>
      </c>
      <c r="V42" s="2"/>
      <c r="W42" s="2" t="s">
        <v>351</v>
      </c>
      <c r="X42" s="2"/>
      <c r="Y42" s="2" t="s">
        <v>48</v>
      </c>
      <c r="Z42" s="3" t="s">
        <v>410</v>
      </c>
      <c r="AA42" s="2" t="s">
        <v>40</v>
      </c>
      <c r="AB42" s="2" t="s">
        <v>50</v>
      </c>
      <c r="AC42" s="2" t="n">
        <v>0</v>
      </c>
      <c r="AD42" s="2" t="n">
        <v>614</v>
      </c>
      <c r="AE42" s="2" t="n">
        <v>1</v>
      </c>
      <c r="AF42" s="2"/>
      <c r="AG42" s="2" t="s">
        <v>411</v>
      </c>
      <c r="AH42" s="2" t="s">
        <v>412</v>
      </c>
      <c r="AI42" s="2" t="n">
        <v>0</v>
      </c>
    </row>
    <row r="43" customFormat="false" ht="15" hidden="false" customHeight="false" outlineLevel="0" collapsed="false">
      <c r="A43" s="2" t="n">
        <v>90924</v>
      </c>
      <c r="B43" s="2" t="s">
        <v>413</v>
      </c>
      <c r="C43" s="2"/>
      <c r="D43" s="2" t="s">
        <v>414</v>
      </c>
      <c r="E43" s="2" t="s">
        <v>37</v>
      </c>
      <c r="F43" s="2" t="s">
        <v>38</v>
      </c>
      <c r="G43" s="2" t="s">
        <v>39</v>
      </c>
      <c r="H43" s="2" t="s">
        <v>40</v>
      </c>
      <c r="I43" s="2" t="s">
        <v>40</v>
      </c>
      <c r="J43" s="2" t="s">
        <v>415</v>
      </c>
      <c r="K43" s="2" t="s">
        <v>78</v>
      </c>
      <c r="L43" s="2" t="s">
        <v>43</v>
      </c>
      <c r="M43" s="2" t="s">
        <v>44</v>
      </c>
      <c r="N43" s="2"/>
      <c r="O43" s="2" t="n">
        <v>7.9127333</v>
      </c>
      <c r="P43" s="2" t="n">
        <v>98.367988</v>
      </c>
      <c r="Q43" s="2"/>
      <c r="R43" s="2" t="s">
        <v>416</v>
      </c>
      <c r="S43" s="2"/>
      <c r="T43" s="2"/>
      <c r="U43" s="2" t="s">
        <v>417</v>
      </c>
      <c r="V43" s="2"/>
      <c r="W43" s="2" t="s">
        <v>418</v>
      </c>
      <c r="X43" s="2"/>
      <c r="Y43" s="2" t="s">
        <v>48</v>
      </c>
      <c r="Z43" s="3" t="s">
        <v>419</v>
      </c>
      <c r="AA43" s="2" t="s">
        <v>40</v>
      </c>
      <c r="AB43" s="2" t="s">
        <v>50</v>
      </c>
      <c r="AC43" s="2" t="n">
        <v>0</v>
      </c>
      <c r="AD43" s="2" t="n">
        <v>633</v>
      </c>
      <c r="AE43" s="2" t="n">
        <v>1</v>
      </c>
      <c r="AF43" s="2"/>
      <c r="AG43" s="2" t="s">
        <v>420</v>
      </c>
      <c r="AH43" s="2" t="s">
        <v>421</v>
      </c>
      <c r="AI43" s="2" t="n">
        <v>0</v>
      </c>
    </row>
    <row r="44" customFormat="false" ht="15" hidden="false" customHeight="false" outlineLevel="0" collapsed="false">
      <c r="A44" s="2" t="n">
        <v>91410</v>
      </c>
      <c r="B44" s="2" t="s">
        <v>422</v>
      </c>
      <c r="C44" s="2"/>
      <c r="D44" s="2" t="s">
        <v>423</v>
      </c>
      <c r="E44" s="2" t="s">
        <v>37</v>
      </c>
      <c r="F44" s="2" t="s">
        <v>38</v>
      </c>
      <c r="G44" s="2" t="s">
        <v>39</v>
      </c>
      <c r="H44" s="2" t="s">
        <v>40</v>
      </c>
      <c r="I44" s="2" t="s">
        <v>40</v>
      </c>
      <c r="J44" s="2" t="s">
        <v>424</v>
      </c>
      <c r="K44" s="2" t="s">
        <v>78</v>
      </c>
      <c r="L44" s="2" t="s">
        <v>43</v>
      </c>
      <c r="M44" s="2" t="s">
        <v>44</v>
      </c>
      <c r="N44" s="2"/>
      <c r="O44" s="2" t="n">
        <v>7.9245546</v>
      </c>
      <c r="P44" s="2" t="n">
        <v>98.3778721</v>
      </c>
      <c r="Q44" s="2"/>
      <c r="R44" s="2" t="s">
        <v>425</v>
      </c>
      <c r="S44" s="2"/>
      <c r="T44" s="2"/>
      <c r="U44" s="2" t="s">
        <v>426</v>
      </c>
      <c r="V44" s="2"/>
      <c r="W44" s="2" t="s">
        <v>427</v>
      </c>
      <c r="X44" s="2"/>
      <c r="Y44" s="2" t="s">
        <v>48</v>
      </c>
      <c r="Z44" s="3" t="s">
        <v>428</v>
      </c>
      <c r="AA44" s="2" t="s">
        <v>40</v>
      </c>
      <c r="AB44" s="2" t="s">
        <v>50</v>
      </c>
      <c r="AC44" s="2" t="n">
        <v>0</v>
      </c>
      <c r="AD44" s="2" t="n">
        <v>700</v>
      </c>
      <c r="AE44" s="2" t="n">
        <v>0</v>
      </c>
      <c r="AF44" s="2"/>
      <c r="AG44" s="2" t="s">
        <v>429</v>
      </c>
      <c r="AH44" s="2" t="s">
        <v>430</v>
      </c>
      <c r="AI44" s="2" t="n">
        <v>0</v>
      </c>
    </row>
    <row r="45" customFormat="false" ht="15" hidden="false" customHeight="false" outlineLevel="0" collapsed="false">
      <c r="A45" s="2" t="n">
        <v>91387</v>
      </c>
      <c r="B45" s="2" t="s">
        <v>431</v>
      </c>
      <c r="C45" s="2"/>
      <c r="D45" s="2" t="s">
        <v>432</v>
      </c>
      <c r="E45" s="2" t="s">
        <v>117</v>
      </c>
      <c r="F45" s="2" t="s">
        <v>38</v>
      </c>
      <c r="G45" s="2" t="s">
        <v>39</v>
      </c>
      <c r="H45" s="2" t="s">
        <v>40</v>
      </c>
      <c r="I45" s="2" t="s">
        <v>40</v>
      </c>
      <c r="J45" s="2" t="s">
        <v>433</v>
      </c>
      <c r="K45" s="2" t="s">
        <v>42</v>
      </c>
      <c r="L45" s="2" t="s">
        <v>43</v>
      </c>
      <c r="M45" s="2" t="s">
        <v>44</v>
      </c>
      <c r="N45" s="2"/>
      <c r="O45" s="2" t="n">
        <v>7.8848047</v>
      </c>
      <c r="P45" s="2" t="n">
        <v>98.387606</v>
      </c>
      <c r="Q45" s="2"/>
      <c r="R45" s="2" t="s">
        <v>434</v>
      </c>
      <c r="S45" s="2"/>
      <c r="T45" s="2"/>
      <c r="U45" s="2" t="s">
        <v>435</v>
      </c>
      <c r="V45" s="2"/>
      <c r="W45" s="2" t="s">
        <v>436</v>
      </c>
      <c r="X45" s="2"/>
      <c r="Y45" s="2" t="s">
        <v>48</v>
      </c>
      <c r="Z45" s="3" t="s">
        <v>437</v>
      </c>
      <c r="AA45" s="2" t="s">
        <v>40</v>
      </c>
      <c r="AB45" s="2" t="s">
        <v>50</v>
      </c>
      <c r="AC45" s="2" t="n">
        <v>0</v>
      </c>
      <c r="AD45" s="2" t="n">
        <v>612</v>
      </c>
      <c r="AE45" s="2" t="n">
        <v>0</v>
      </c>
      <c r="AF45" s="2"/>
      <c r="AG45" s="2" t="s">
        <v>438</v>
      </c>
      <c r="AH45" s="2" t="s">
        <v>439</v>
      </c>
      <c r="AI45" s="2" t="n">
        <v>0</v>
      </c>
    </row>
    <row r="46" customFormat="false" ht="15" hidden="false" customHeight="false" outlineLevel="0" collapsed="false">
      <c r="A46" s="2" t="n">
        <v>92978</v>
      </c>
      <c r="B46" s="2" t="s">
        <v>440</v>
      </c>
      <c r="C46" s="2"/>
      <c r="D46" s="2" t="s">
        <v>441</v>
      </c>
      <c r="E46" s="2" t="s">
        <v>37</v>
      </c>
      <c r="F46" s="2" t="s">
        <v>118</v>
      </c>
      <c r="G46" s="2" t="s">
        <v>39</v>
      </c>
      <c r="H46" s="2" t="s">
        <v>40</v>
      </c>
      <c r="I46" s="2" t="s">
        <v>40</v>
      </c>
      <c r="J46" s="2" t="s">
        <v>280</v>
      </c>
      <c r="K46" s="2" t="s">
        <v>108</v>
      </c>
      <c r="L46" s="2" t="s">
        <v>109</v>
      </c>
      <c r="M46" s="2" t="s">
        <v>44</v>
      </c>
      <c r="N46" s="2"/>
      <c r="O46" s="2" t="n">
        <v>7.888418</v>
      </c>
      <c r="P46" s="2" t="n">
        <v>98.296738</v>
      </c>
      <c r="Q46" s="2" t="s">
        <v>281</v>
      </c>
      <c r="R46" s="2"/>
      <c r="S46" s="2"/>
      <c r="T46" s="2"/>
      <c r="U46" s="2" t="s">
        <v>442</v>
      </c>
      <c r="V46" s="2"/>
      <c r="W46" s="2" t="s">
        <v>443</v>
      </c>
      <c r="X46" s="2"/>
      <c r="Y46" s="2" t="s">
        <v>48</v>
      </c>
      <c r="Z46" s="3" t="s">
        <v>444</v>
      </c>
      <c r="AA46" s="2" t="s">
        <v>40</v>
      </c>
      <c r="AB46" s="2" t="s">
        <v>50</v>
      </c>
      <c r="AC46" s="2" t="n">
        <v>0</v>
      </c>
      <c r="AD46" s="2" t="n">
        <v>587</v>
      </c>
      <c r="AE46" s="2" t="n">
        <v>1</v>
      </c>
      <c r="AF46" s="2"/>
      <c r="AG46" s="2" t="s">
        <v>445</v>
      </c>
      <c r="AH46" s="2" t="s">
        <v>446</v>
      </c>
      <c r="AI46" s="2" t="n">
        <v>0</v>
      </c>
    </row>
    <row r="47" customFormat="false" ht="15" hidden="false" customHeight="false" outlineLevel="0" collapsed="false">
      <c r="A47" s="2" t="n">
        <v>91969</v>
      </c>
      <c r="B47" s="2" t="s">
        <v>447</v>
      </c>
      <c r="C47" s="2"/>
      <c r="D47" s="2" t="s">
        <v>448</v>
      </c>
      <c r="E47" s="2" t="s">
        <v>105</v>
      </c>
      <c r="F47" s="2" t="s">
        <v>106</v>
      </c>
      <c r="G47" s="2" t="s">
        <v>39</v>
      </c>
      <c r="H47" s="2" t="s">
        <v>40</v>
      </c>
      <c r="I47" s="2" t="s">
        <v>40</v>
      </c>
      <c r="J47" s="2" t="s">
        <v>449</v>
      </c>
      <c r="K47" s="2" t="s">
        <v>108</v>
      </c>
      <c r="L47" s="2" t="s">
        <v>109</v>
      </c>
      <c r="M47" s="2" t="s">
        <v>44</v>
      </c>
      <c r="N47" s="2"/>
      <c r="O47" s="2" t="n">
        <v>7.8924891</v>
      </c>
      <c r="P47" s="2" t="n">
        <v>98.2988866</v>
      </c>
      <c r="Q47" s="2" t="s">
        <v>450</v>
      </c>
      <c r="R47" s="2"/>
      <c r="S47" s="2"/>
      <c r="T47" s="2"/>
      <c r="U47" s="2" t="s">
        <v>451</v>
      </c>
      <c r="V47" s="2"/>
      <c r="W47" s="2" t="s">
        <v>452</v>
      </c>
      <c r="X47" s="2"/>
      <c r="Y47" s="2" t="s">
        <v>48</v>
      </c>
      <c r="Z47" s="3" t="s">
        <v>453</v>
      </c>
      <c r="AA47" s="2" t="s">
        <v>40</v>
      </c>
      <c r="AB47" s="2" t="s">
        <v>50</v>
      </c>
      <c r="AC47" s="2" t="n">
        <v>0</v>
      </c>
      <c r="AD47" s="2" t="n">
        <v>664</v>
      </c>
      <c r="AE47" s="2" t="n">
        <v>0</v>
      </c>
      <c r="AF47" s="2"/>
      <c r="AG47" s="2" t="s">
        <v>454</v>
      </c>
      <c r="AH47" s="2" t="s">
        <v>455</v>
      </c>
      <c r="AI47" s="2" t="n">
        <v>0</v>
      </c>
    </row>
    <row r="48" customFormat="false" ht="15" hidden="false" customHeight="false" outlineLevel="0" collapsed="false">
      <c r="A48" s="2" t="n">
        <v>90942</v>
      </c>
      <c r="B48" s="2" t="s">
        <v>456</v>
      </c>
      <c r="C48" s="2"/>
      <c r="D48" s="2" t="s">
        <v>457</v>
      </c>
      <c r="E48" s="2" t="s">
        <v>55</v>
      </c>
      <c r="F48" s="2" t="s">
        <v>38</v>
      </c>
      <c r="G48" s="2" t="s">
        <v>39</v>
      </c>
      <c r="H48" s="2" t="s">
        <v>40</v>
      </c>
      <c r="I48" s="2" t="s">
        <v>40</v>
      </c>
      <c r="J48" s="2" t="s">
        <v>458</v>
      </c>
      <c r="K48" s="2" t="s">
        <v>78</v>
      </c>
      <c r="L48" s="2" t="s">
        <v>43</v>
      </c>
      <c r="M48" s="2" t="s">
        <v>44</v>
      </c>
      <c r="N48" s="2"/>
      <c r="O48" s="2" t="n">
        <v>7.9067815</v>
      </c>
      <c r="P48" s="2" t="n">
        <v>98.4043551</v>
      </c>
      <c r="Q48" s="2"/>
      <c r="R48" s="2" t="s">
        <v>459</v>
      </c>
      <c r="S48" s="2"/>
      <c r="T48" s="2"/>
      <c r="U48" s="2" t="s">
        <v>460</v>
      </c>
      <c r="V48" s="2"/>
      <c r="W48" s="2" t="s">
        <v>461</v>
      </c>
      <c r="X48" s="2"/>
      <c r="Y48" s="2" t="s">
        <v>48</v>
      </c>
      <c r="Z48" s="3" t="s">
        <v>462</v>
      </c>
      <c r="AA48" s="2" t="s">
        <v>40</v>
      </c>
      <c r="AB48" s="2" t="s">
        <v>50</v>
      </c>
      <c r="AC48" s="2" t="n">
        <v>0</v>
      </c>
      <c r="AD48" s="2" t="n">
        <v>943</v>
      </c>
      <c r="AE48" s="2" t="n">
        <v>0</v>
      </c>
      <c r="AF48" s="2"/>
      <c r="AG48" s="2" t="s">
        <v>463</v>
      </c>
      <c r="AH48" s="2" t="s">
        <v>464</v>
      </c>
      <c r="AI48" s="2" t="n">
        <v>0</v>
      </c>
    </row>
    <row r="49" customFormat="false" ht="15" hidden="false" customHeight="false" outlineLevel="0" collapsed="false">
      <c r="A49" s="2" t="n">
        <v>91284</v>
      </c>
      <c r="B49" s="2" t="s">
        <v>465</v>
      </c>
      <c r="C49" s="2"/>
      <c r="D49" s="2" t="s">
        <v>323</v>
      </c>
      <c r="E49" s="2" t="s">
        <v>37</v>
      </c>
      <c r="F49" s="2" t="s">
        <v>38</v>
      </c>
      <c r="G49" s="2" t="s">
        <v>39</v>
      </c>
      <c r="H49" s="2" t="s">
        <v>40</v>
      </c>
      <c r="I49" s="2" t="s">
        <v>40</v>
      </c>
      <c r="J49" s="2" t="s">
        <v>466</v>
      </c>
      <c r="K49" s="2" t="s">
        <v>109</v>
      </c>
      <c r="L49" s="2" t="s">
        <v>109</v>
      </c>
      <c r="M49" s="2" t="s">
        <v>44</v>
      </c>
      <c r="N49" s="2"/>
      <c r="O49" s="2" t="n">
        <v>7.895175</v>
      </c>
      <c r="P49" s="2" t="n">
        <v>98.354534</v>
      </c>
      <c r="Q49" s="2"/>
      <c r="R49" s="2" t="s">
        <v>467</v>
      </c>
      <c r="S49" s="2"/>
      <c r="T49" s="2"/>
      <c r="U49" s="2" t="s">
        <v>468</v>
      </c>
      <c r="V49" s="2"/>
      <c r="W49" s="2" t="s">
        <v>452</v>
      </c>
      <c r="X49" s="2"/>
      <c r="Y49" s="2" t="s">
        <v>48</v>
      </c>
      <c r="Z49" s="3" t="s">
        <v>469</v>
      </c>
      <c r="AA49" s="2" t="s">
        <v>40</v>
      </c>
      <c r="AB49" s="2" t="s">
        <v>50</v>
      </c>
      <c r="AC49" s="2" t="n">
        <v>0</v>
      </c>
      <c r="AD49" s="2" t="n">
        <v>736</v>
      </c>
      <c r="AE49" s="2" t="n">
        <v>0</v>
      </c>
      <c r="AF49" s="2"/>
      <c r="AG49" s="2" t="s">
        <v>470</v>
      </c>
      <c r="AH49" s="2" t="s">
        <v>471</v>
      </c>
      <c r="AI49" s="2" t="n">
        <v>0</v>
      </c>
    </row>
    <row r="50" customFormat="false" ht="15" hidden="false" customHeight="false" outlineLevel="0" collapsed="false">
      <c r="A50" s="2" t="n">
        <v>90822</v>
      </c>
      <c r="B50" s="2" t="s">
        <v>472</v>
      </c>
      <c r="C50" s="2"/>
      <c r="D50" s="2" t="s">
        <v>128</v>
      </c>
      <c r="E50" s="2" t="s">
        <v>37</v>
      </c>
      <c r="F50" s="2" t="s">
        <v>38</v>
      </c>
      <c r="G50" s="2" t="s">
        <v>39</v>
      </c>
      <c r="H50" s="2" t="s">
        <v>40</v>
      </c>
      <c r="I50" s="2" t="s">
        <v>40</v>
      </c>
      <c r="J50" s="2" t="s">
        <v>473</v>
      </c>
      <c r="K50" s="2" t="s">
        <v>474</v>
      </c>
      <c r="L50" s="2" t="s">
        <v>43</v>
      </c>
      <c r="M50" s="2" t="s">
        <v>44</v>
      </c>
      <c r="N50" s="2"/>
      <c r="O50" s="2" t="n">
        <v>7.840646</v>
      </c>
      <c r="P50" s="2" t="n">
        <v>98.33392</v>
      </c>
      <c r="Q50" s="2"/>
      <c r="R50" s="2" t="s">
        <v>475</v>
      </c>
      <c r="S50" s="2"/>
      <c r="T50" s="2"/>
      <c r="U50" s="2" t="s">
        <v>476</v>
      </c>
      <c r="V50" s="2"/>
      <c r="W50" s="2" t="s">
        <v>81</v>
      </c>
      <c r="X50" s="2"/>
      <c r="Y50" s="2" t="s">
        <v>48</v>
      </c>
      <c r="Z50" s="3" t="s">
        <v>477</v>
      </c>
      <c r="AA50" s="2" t="s">
        <v>40</v>
      </c>
      <c r="AB50" s="2" t="s">
        <v>50</v>
      </c>
      <c r="AC50" s="2" t="n">
        <v>0</v>
      </c>
      <c r="AD50" s="2" t="n">
        <v>712</v>
      </c>
      <c r="AE50" s="2" t="n">
        <v>0</v>
      </c>
      <c r="AF50" s="2"/>
      <c r="AG50" s="2" t="s">
        <v>478</v>
      </c>
      <c r="AH50" s="2" t="s">
        <v>479</v>
      </c>
      <c r="AI50" s="2" t="n">
        <v>0</v>
      </c>
    </row>
    <row r="51" customFormat="false" ht="15" hidden="false" customHeight="false" outlineLevel="0" collapsed="false">
      <c r="A51" s="2" t="n">
        <v>90893</v>
      </c>
      <c r="B51" s="2" t="s">
        <v>480</v>
      </c>
      <c r="C51" s="2"/>
      <c r="D51" s="2" t="s">
        <v>481</v>
      </c>
      <c r="E51" s="2" t="s">
        <v>37</v>
      </c>
      <c r="F51" s="2" t="s">
        <v>38</v>
      </c>
      <c r="G51" s="2" t="s">
        <v>39</v>
      </c>
      <c r="H51" s="2" t="s">
        <v>40</v>
      </c>
      <c r="I51" s="2" t="s">
        <v>40</v>
      </c>
      <c r="J51" s="2" t="s">
        <v>482</v>
      </c>
      <c r="K51" s="2" t="s">
        <v>399</v>
      </c>
      <c r="L51" s="2" t="s">
        <v>43</v>
      </c>
      <c r="M51" s="2" t="s">
        <v>44</v>
      </c>
      <c r="N51" s="2"/>
      <c r="O51" s="2" t="n">
        <v>7.836641</v>
      </c>
      <c r="P51" s="2" t="n">
        <v>98.295216</v>
      </c>
      <c r="Q51" s="2" t="s">
        <v>483</v>
      </c>
      <c r="R51" s="2"/>
      <c r="S51" s="2"/>
      <c r="T51" s="2"/>
      <c r="U51" s="2" t="s">
        <v>484</v>
      </c>
      <c r="V51" s="2"/>
      <c r="W51" s="2" t="s">
        <v>485</v>
      </c>
      <c r="X51" s="2"/>
      <c r="Y51" s="2" t="s">
        <v>48</v>
      </c>
      <c r="Z51" s="3" t="s">
        <v>486</v>
      </c>
      <c r="AA51" s="2" t="s">
        <v>40</v>
      </c>
      <c r="AB51" s="2" t="s">
        <v>50</v>
      </c>
      <c r="AC51" s="2" t="n">
        <v>0</v>
      </c>
      <c r="AD51" s="2" t="n">
        <v>624</v>
      </c>
      <c r="AE51" s="2" t="n">
        <v>1</v>
      </c>
      <c r="AF51" s="2"/>
      <c r="AG51" s="2" t="s">
        <v>487</v>
      </c>
      <c r="AH51" s="2" t="s">
        <v>488</v>
      </c>
      <c r="AI51" s="2" t="n">
        <v>0</v>
      </c>
    </row>
    <row r="52" customFormat="false" ht="15" hidden="false" customHeight="false" outlineLevel="0" collapsed="false">
      <c r="A52" s="2" t="n">
        <v>90932</v>
      </c>
      <c r="B52" s="2" t="s">
        <v>489</v>
      </c>
      <c r="C52" s="2"/>
      <c r="D52" s="2" t="s">
        <v>157</v>
      </c>
      <c r="E52" s="2" t="s">
        <v>37</v>
      </c>
      <c r="F52" s="2" t="s">
        <v>106</v>
      </c>
      <c r="G52" s="2" t="s">
        <v>39</v>
      </c>
      <c r="H52" s="2" t="s">
        <v>40</v>
      </c>
      <c r="I52" s="2" t="s">
        <v>40</v>
      </c>
      <c r="J52" s="2" t="s">
        <v>490</v>
      </c>
      <c r="K52" s="2" t="s">
        <v>68</v>
      </c>
      <c r="L52" s="2" t="s">
        <v>43</v>
      </c>
      <c r="M52" s="2" t="s">
        <v>44</v>
      </c>
      <c r="N52" s="2"/>
      <c r="O52" s="2" t="n">
        <v>7.8830914</v>
      </c>
      <c r="P52" s="2" t="n">
        <v>98.3967295</v>
      </c>
      <c r="Q52" s="2"/>
      <c r="R52" s="2" t="s">
        <v>491</v>
      </c>
      <c r="S52" s="2"/>
      <c r="T52" s="2"/>
      <c r="U52" s="2" t="s">
        <v>492</v>
      </c>
      <c r="V52" s="2"/>
      <c r="W52" s="2" t="s">
        <v>493</v>
      </c>
      <c r="X52" s="2"/>
      <c r="Y52" s="2" t="s">
        <v>48</v>
      </c>
      <c r="Z52" s="3" t="s">
        <v>494</v>
      </c>
      <c r="AA52" s="2" t="s">
        <v>40</v>
      </c>
      <c r="AB52" s="2" t="s">
        <v>50</v>
      </c>
      <c r="AC52" s="2" t="n">
        <v>0</v>
      </c>
      <c r="AD52" s="2" t="n">
        <v>1113</v>
      </c>
      <c r="AE52" s="2" t="n">
        <v>0</v>
      </c>
      <c r="AF52" s="2"/>
      <c r="AG52" s="2" t="s">
        <v>495</v>
      </c>
      <c r="AH52" s="2" t="s">
        <v>496</v>
      </c>
      <c r="AI52" s="2" t="n">
        <v>0</v>
      </c>
    </row>
    <row r="53" customFormat="false" ht="15" hidden="false" customHeight="false" outlineLevel="0" collapsed="false">
      <c r="A53" s="2" t="n">
        <v>90868</v>
      </c>
      <c r="B53" s="2" t="s">
        <v>497</v>
      </c>
      <c r="C53" s="2"/>
      <c r="D53" s="2" t="s">
        <v>262</v>
      </c>
      <c r="E53" s="2" t="s">
        <v>37</v>
      </c>
      <c r="F53" s="2" t="s">
        <v>106</v>
      </c>
      <c r="G53" s="2" t="s">
        <v>39</v>
      </c>
      <c r="H53" s="2" t="s">
        <v>40</v>
      </c>
      <c r="I53" s="2" t="s">
        <v>40</v>
      </c>
      <c r="J53" s="2" t="s">
        <v>498</v>
      </c>
      <c r="K53" s="2" t="s">
        <v>120</v>
      </c>
      <c r="L53" s="2" t="s">
        <v>58</v>
      </c>
      <c r="M53" s="2" t="s">
        <v>44</v>
      </c>
      <c r="N53" s="2"/>
      <c r="O53" s="2" t="n">
        <v>8.1122874</v>
      </c>
      <c r="P53" s="2" t="n">
        <v>98.3065061</v>
      </c>
      <c r="Q53" s="2" t="s">
        <v>499</v>
      </c>
      <c r="R53" s="2"/>
      <c r="S53" s="2"/>
      <c r="T53" s="2"/>
      <c r="U53" s="2" t="s">
        <v>500</v>
      </c>
      <c r="V53" s="2"/>
      <c r="W53" s="2" t="s">
        <v>501</v>
      </c>
      <c r="X53" s="2"/>
      <c r="Y53" s="2" t="s">
        <v>48</v>
      </c>
      <c r="Z53" s="3" t="s">
        <v>502</v>
      </c>
      <c r="AA53" s="2" t="s">
        <v>40</v>
      </c>
      <c r="AB53" s="2" t="s">
        <v>50</v>
      </c>
      <c r="AC53" s="2" t="n">
        <v>0</v>
      </c>
      <c r="AD53" s="2" t="n">
        <v>756</v>
      </c>
      <c r="AE53" s="2" t="n">
        <v>1</v>
      </c>
      <c r="AF53" s="2"/>
      <c r="AG53" s="2" t="s">
        <v>503</v>
      </c>
      <c r="AH53" s="2" t="s">
        <v>504</v>
      </c>
      <c r="AI53" s="2" t="n">
        <v>0</v>
      </c>
    </row>
    <row r="54" customFormat="false" ht="15" hidden="false" customHeight="false" outlineLevel="0" collapsed="false">
      <c r="A54" s="2" t="n">
        <v>91212</v>
      </c>
      <c r="B54" s="2" t="s">
        <v>505</v>
      </c>
      <c r="C54" s="2"/>
      <c r="D54" s="2" t="s">
        <v>227</v>
      </c>
      <c r="E54" s="2" t="s">
        <v>37</v>
      </c>
      <c r="F54" s="2" t="s">
        <v>38</v>
      </c>
      <c r="G54" s="2" t="s">
        <v>39</v>
      </c>
      <c r="H54" s="2" t="s">
        <v>40</v>
      </c>
      <c r="I54" s="2" t="s">
        <v>40</v>
      </c>
      <c r="J54" s="2" t="s">
        <v>506</v>
      </c>
      <c r="K54" s="2" t="s">
        <v>42</v>
      </c>
      <c r="L54" s="2" t="s">
        <v>43</v>
      </c>
      <c r="M54" s="2" t="s">
        <v>44</v>
      </c>
      <c r="N54" s="2"/>
      <c r="O54" s="2" t="n">
        <v>7.8851346</v>
      </c>
      <c r="P54" s="2" t="n">
        <v>98.3874513</v>
      </c>
      <c r="Q54" s="2" t="s">
        <v>507</v>
      </c>
      <c r="R54" s="2"/>
      <c r="S54" s="2"/>
      <c r="T54" s="2"/>
      <c r="U54" s="2" t="s">
        <v>508</v>
      </c>
      <c r="V54" s="2"/>
      <c r="W54" s="2" t="s">
        <v>292</v>
      </c>
      <c r="X54" s="2"/>
      <c r="Y54" s="2" t="s">
        <v>48</v>
      </c>
      <c r="Z54" s="3" t="s">
        <v>509</v>
      </c>
      <c r="AA54" s="2" t="s">
        <v>40</v>
      </c>
      <c r="AB54" s="2" t="s">
        <v>50</v>
      </c>
      <c r="AC54" s="2" t="n">
        <v>0</v>
      </c>
      <c r="AD54" s="2" t="n">
        <v>1100</v>
      </c>
      <c r="AE54" s="2" t="n">
        <v>1</v>
      </c>
      <c r="AF54" s="2"/>
      <c r="AG54" s="2" t="s">
        <v>510</v>
      </c>
      <c r="AH54" s="2" t="s">
        <v>511</v>
      </c>
      <c r="AI54" s="2" t="n">
        <v>0</v>
      </c>
    </row>
    <row r="55" customFormat="false" ht="15" hidden="false" customHeight="false" outlineLevel="0" collapsed="false">
      <c r="A55" s="2" t="n">
        <v>91131</v>
      </c>
      <c r="B55" s="2" t="s">
        <v>512</v>
      </c>
      <c r="C55" s="2"/>
      <c r="D55" s="2" t="s">
        <v>513</v>
      </c>
      <c r="E55" s="2" t="s">
        <v>55</v>
      </c>
      <c r="F55" s="2" t="s">
        <v>38</v>
      </c>
      <c r="G55" s="2" t="s">
        <v>39</v>
      </c>
      <c r="H55" s="2" t="s">
        <v>40</v>
      </c>
      <c r="I55" s="2" t="s">
        <v>40</v>
      </c>
      <c r="J55" s="2" t="s">
        <v>514</v>
      </c>
      <c r="K55" s="2" t="s">
        <v>78</v>
      </c>
      <c r="L55" s="2" t="s">
        <v>43</v>
      </c>
      <c r="M55" s="2" t="s">
        <v>44</v>
      </c>
      <c r="N55" s="2"/>
      <c r="O55" s="2" t="n">
        <v>7.900288</v>
      </c>
      <c r="P55" s="2" t="n">
        <v>98.367785</v>
      </c>
      <c r="Q55" s="2"/>
      <c r="R55" s="2" t="s">
        <v>515</v>
      </c>
      <c r="S55" s="2"/>
      <c r="T55" s="2"/>
      <c r="U55" s="2" t="s">
        <v>516</v>
      </c>
      <c r="V55" s="2"/>
      <c r="W55" s="2" t="s">
        <v>517</v>
      </c>
      <c r="X55" s="2"/>
      <c r="Y55" s="2" t="s">
        <v>48</v>
      </c>
      <c r="Z55" s="3" t="s">
        <v>518</v>
      </c>
      <c r="AA55" s="2" t="s">
        <v>40</v>
      </c>
      <c r="AB55" s="2" t="s">
        <v>50</v>
      </c>
      <c r="AC55" s="2" t="n">
        <v>0</v>
      </c>
      <c r="AD55" s="2" t="n">
        <v>615</v>
      </c>
      <c r="AE55" s="2" t="n">
        <v>0</v>
      </c>
      <c r="AF55" s="2"/>
      <c r="AG55" s="2" t="s">
        <v>519</v>
      </c>
      <c r="AH55" s="2" t="s">
        <v>520</v>
      </c>
      <c r="AI55" s="2" t="n">
        <v>0</v>
      </c>
    </row>
    <row r="56" customFormat="false" ht="15" hidden="false" customHeight="false" outlineLevel="0" collapsed="false">
      <c r="A56" s="2" t="n">
        <v>91421</v>
      </c>
      <c r="B56" s="2" t="s">
        <v>521</v>
      </c>
      <c r="C56" s="2"/>
      <c r="D56" s="2" t="s">
        <v>522</v>
      </c>
      <c r="E56" s="2" t="s">
        <v>37</v>
      </c>
      <c r="F56" s="2" t="s">
        <v>118</v>
      </c>
      <c r="G56" s="2" t="s">
        <v>39</v>
      </c>
      <c r="H56" s="2" t="s">
        <v>40</v>
      </c>
      <c r="I56" s="2" t="s">
        <v>40</v>
      </c>
      <c r="J56" s="2" t="s">
        <v>270</v>
      </c>
      <c r="K56" s="2" t="s">
        <v>42</v>
      </c>
      <c r="L56" s="2" t="s">
        <v>43</v>
      </c>
      <c r="M56" s="2" t="s">
        <v>44</v>
      </c>
      <c r="N56" s="2"/>
      <c r="O56" s="2" t="n">
        <v>7.88999</v>
      </c>
      <c r="P56" s="2" t="n">
        <v>98.38611</v>
      </c>
      <c r="Q56" s="2"/>
      <c r="R56" s="2" t="s">
        <v>523</v>
      </c>
      <c r="S56" s="2"/>
      <c r="T56" s="2"/>
      <c r="U56" s="2" t="s">
        <v>524</v>
      </c>
      <c r="V56" s="2"/>
      <c r="W56" s="2" t="s">
        <v>525</v>
      </c>
      <c r="X56" s="2"/>
      <c r="Y56" s="2" t="s">
        <v>48</v>
      </c>
      <c r="Z56" s="3" t="s">
        <v>526</v>
      </c>
      <c r="AA56" s="2" t="s">
        <v>40</v>
      </c>
      <c r="AB56" s="2" t="s">
        <v>50</v>
      </c>
      <c r="AC56" s="2" t="n">
        <v>0</v>
      </c>
      <c r="AD56" s="2" t="n">
        <v>854</v>
      </c>
      <c r="AE56" s="2" t="n">
        <v>0</v>
      </c>
      <c r="AF56" s="2"/>
      <c r="AG56" s="2" t="s">
        <v>527</v>
      </c>
      <c r="AH56" s="2" t="s">
        <v>528</v>
      </c>
      <c r="AI56" s="2" t="n">
        <v>0</v>
      </c>
    </row>
    <row r="57" customFormat="false" ht="15" hidden="false" customHeight="false" outlineLevel="0" collapsed="false">
      <c r="A57" s="2" t="n">
        <v>92106</v>
      </c>
      <c r="B57" s="2" t="s">
        <v>529</v>
      </c>
      <c r="C57" s="2"/>
      <c r="D57" s="2" t="s">
        <v>246</v>
      </c>
      <c r="E57" s="2" t="s">
        <v>55</v>
      </c>
      <c r="F57" s="2" t="s">
        <v>38</v>
      </c>
      <c r="G57" s="2" t="s">
        <v>39</v>
      </c>
      <c r="H57" s="2" t="s">
        <v>40</v>
      </c>
      <c r="I57" s="2" t="s">
        <v>40</v>
      </c>
      <c r="J57" s="2" t="s">
        <v>530</v>
      </c>
      <c r="K57" s="2" t="s">
        <v>108</v>
      </c>
      <c r="L57" s="2" t="s">
        <v>109</v>
      </c>
      <c r="M57" s="2" t="s">
        <v>44</v>
      </c>
      <c r="N57" s="2"/>
      <c r="O57" s="2" t="n">
        <v>7.890674</v>
      </c>
      <c r="P57" s="2" t="n">
        <v>98.30005</v>
      </c>
      <c r="Q57" s="2" t="s">
        <v>531</v>
      </c>
      <c r="R57" s="2"/>
      <c r="S57" s="2"/>
      <c r="T57" s="2"/>
      <c r="U57" s="2" t="s">
        <v>532</v>
      </c>
      <c r="V57" s="2"/>
      <c r="W57" s="2" t="s">
        <v>533</v>
      </c>
      <c r="X57" s="2"/>
      <c r="Y57" s="2" t="s">
        <v>48</v>
      </c>
      <c r="Z57" s="3" t="s">
        <v>534</v>
      </c>
      <c r="AA57" s="2" t="s">
        <v>40</v>
      </c>
      <c r="AB57" s="2" t="s">
        <v>50</v>
      </c>
      <c r="AC57" s="2" t="n">
        <v>0</v>
      </c>
      <c r="AD57" s="2" t="n">
        <v>598</v>
      </c>
      <c r="AE57" s="2" t="n">
        <v>1</v>
      </c>
      <c r="AF57" s="2"/>
      <c r="AG57" s="2" t="s">
        <v>535</v>
      </c>
      <c r="AH57" s="2" t="s">
        <v>536</v>
      </c>
      <c r="AI57" s="2" t="n">
        <v>0</v>
      </c>
    </row>
    <row r="58" customFormat="false" ht="15" hidden="false" customHeight="false" outlineLevel="0" collapsed="false">
      <c r="A58" s="2" t="n">
        <v>90885</v>
      </c>
      <c r="B58" s="2" t="s">
        <v>537</v>
      </c>
      <c r="C58" s="2"/>
      <c r="D58" s="2" t="s">
        <v>538</v>
      </c>
      <c r="E58" s="2" t="s">
        <v>55</v>
      </c>
      <c r="F58" s="2" t="s">
        <v>106</v>
      </c>
      <c r="G58" s="2" t="s">
        <v>39</v>
      </c>
      <c r="H58" s="2" t="s">
        <v>40</v>
      </c>
      <c r="I58" s="2" t="s">
        <v>40</v>
      </c>
      <c r="J58" s="2" t="s">
        <v>539</v>
      </c>
      <c r="K58" s="2" t="s">
        <v>68</v>
      </c>
      <c r="L58" s="2" t="s">
        <v>43</v>
      </c>
      <c r="M58" s="2" t="s">
        <v>44</v>
      </c>
      <c r="N58" s="2"/>
      <c r="O58" s="2" t="n">
        <v>7.8862844</v>
      </c>
      <c r="P58" s="2" t="n">
        <v>98.3915591</v>
      </c>
      <c r="Q58" s="2" t="s">
        <v>540</v>
      </c>
      <c r="R58" s="2"/>
      <c r="S58" s="2"/>
      <c r="T58" s="2"/>
      <c r="U58" s="2" t="s">
        <v>541</v>
      </c>
      <c r="V58" s="2"/>
      <c r="W58" s="2" t="s">
        <v>542</v>
      </c>
      <c r="X58" s="2"/>
      <c r="Y58" s="2" t="s">
        <v>48</v>
      </c>
      <c r="Z58" s="3" t="s">
        <v>543</v>
      </c>
      <c r="AA58" s="2" t="s">
        <v>40</v>
      </c>
      <c r="AB58" s="2" t="s">
        <v>50</v>
      </c>
      <c r="AC58" s="2" t="n">
        <v>0</v>
      </c>
      <c r="AD58" s="2" t="n">
        <v>878</v>
      </c>
      <c r="AE58" s="2" t="n">
        <v>1</v>
      </c>
      <c r="AF58" s="2"/>
      <c r="AG58" s="2" t="s">
        <v>544</v>
      </c>
      <c r="AH58" s="2" t="s">
        <v>545</v>
      </c>
      <c r="AI58" s="2" t="n">
        <v>0</v>
      </c>
    </row>
    <row r="59" customFormat="false" ht="15" hidden="false" customHeight="false" outlineLevel="0" collapsed="false">
      <c r="A59" s="2" t="n">
        <v>92084</v>
      </c>
      <c r="B59" s="2" t="s">
        <v>546</v>
      </c>
      <c r="C59" s="2"/>
      <c r="D59" s="2" t="s">
        <v>227</v>
      </c>
      <c r="E59" s="2" t="s">
        <v>37</v>
      </c>
      <c r="F59" s="2" t="s">
        <v>38</v>
      </c>
      <c r="G59" s="2" t="s">
        <v>39</v>
      </c>
      <c r="H59" s="2" t="s">
        <v>40</v>
      </c>
      <c r="I59" s="2" t="s">
        <v>40</v>
      </c>
      <c r="J59" s="2" t="s">
        <v>87</v>
      </c>
      <c r="K59" s="2" t="s">
        <v>88</v>
      </c>
      <c r="L59" s="2" t="s">
        <v>43</v>
      </c>
      <c r="M59" s="2" t="s">
        <v>44</v>
      </c>
      <c r="N59" s="2"/>
      <c r="O59" s="2" t="n">
        <v>7.7842985</v>
      </c>
      <c r="P59" s="2" t="n">
        <v>98.3172864</v>
      </c>
      <c r="Q59" s="2"/>
      <c r="R59" s="2" t="s">
        <v>547</v>
      </c>
      <c r="S59" s="2"/>
      <c r="T59" s="2"/>
      <c r="U59" s="2" t="s">
        <v>548</v>
      </c>
      <c r="V59" s="2"/>
      <c r="W59" s="2" t="s">
        <v>549</v>
      </c>
      <c r="X59" s="2"/>
      <c r="Y59" s="2" t="s">
        <v>48</v>
      </c>
      <c r="Z59" s="3" t="s">
        <v>550</v>
      </c>
      <c r="AA59" s="2" t="s">
        <v>40</v>
      </c>
      <c r="AB59" s="2" t="s">
        <v>50</v>
      </c>
      <c r="AC59" s="2" t="n">
        <v>0</v>
      </c>
      <c r="AD59" s="2" t="n">
        <v>1340</v>
      </c>
      <c r="AE59" s="2" t="n">
        <v>0</v>
      </c>
      <c r="AF59" s="2"/>
      <c r="AG59" s="2" t="s">
        <v>551</v>
      </c>
      <c r="AH59" s="2" t="s">
        <v>552</v>
      </c>
      <c r="AI59" s="2" t="n">
        <v>0</v>
      </c>
    </row>
    <row r="60" customFormat="false" ht="15" hidden="false" customHeight="false" outlineLevel="0" collapsed="false">
      <c r="A60" s="2" t="n">
        <v>92094</v>
      </c>
      <c r="B60" s="2" t="s">
        <v>553</v>
      </c>
      <c r="C60" s="2"/>
      <c r="D60" s="2" t="s">
        <v>554</v>
      </c>
      <c r="E60" s="2" t="s">
        <v>37</v>
      </c>
      <c r="F60" s="2" t="s">
        <v>38</v>
      </c>
      <c r="G60" s="2" t="s">
        <v>39</v>
      </c>
      <c r="H60" s="2" t="s">
        <v>40</v>
      </c>
      <c r="I60" s="2" t="s">
        <v>40</v>
      </c>
      <c r="J60" s="2" t="s">
        <v>555</v>
      </c>
      <c r="K60" s="2" t="s">
        <v>474</v>
      </c>
      <c r="L60" s="2" t="s">
        <v>43</v>
      </c>
      <c r="M60" s="2" t="s">
        <v>44</v>
      </c>
      <c r="N60" s="2"/>
      <c r="O60" s="2" t="n">
        <v>7.838351</v>
      </c>
      <c r="P60" s="2" t="n">
        <v>98.348937</v>
      </c>
      <c r="Q60" s="2"/>
      <c r="R60" s="2" t="s">
        <v>556</v>
      </c>
      <c r="S60" s="2"/>
      <c r="T60" s="2"/>
      <c r="U60" s="2" t="s">
        <v>557</v>
      </c>
      <c r="V60" s="2"/>
      <c r="W60" s="2" t="s">
        <v>558</v>
      </c>
      <c r="X60" s="2"/>
      <c r="Y60" s="2" t="s">
        <v>48</v>
      </c>
      <c r="Z60" s="3" t="s">
        <v>559</v>
      </c>
      <c r="AA60" s="2" t="s">
        <v>40</v>
      </c>
      <c r="AB60" s="2" t="s">
        <v>50</v>
      </c>
      <c r="AC60" s="2" t="n">
        <v>0</v>
      </c>
      <c r="AD60" s="2" t="n">
        <v>690</v>
      </c>
      <c r="AE60" s="2" t="n">
        <v>0</v>
      </c>
      <c r="AF60" s="2"/>
      <c r="AG60" s="2" t="s">
        <v>560</v>
      </c>
      <c r="AH60" s="2" t="s">
        <v>561</v>
      </c>
      <c r="AI60" s="2" t="n">
        <v>0</v>
      </c>
    </row>
    <row r="61" customFormat="false" ht="15" hidden="false" customHeight="false" outlineLevel="0" collapsed="false">
      <c r="A61" s="2" t="n">
        <v>91798</v>
      </c>
      <c r="B61" s="2" t="s">
        <v>562</v>
      </c>
      <c r="C61" s="2"/>
      <c r="D61" s="2" t="s">
        <v>563</v>
      </c>
      <c r="E61" s="2" t="s">
        <v>117</v>
      </c>
      <c r="F61" s="2" t="s">
        <v>38</v>
      </c>
      <c r="G61" s="2" t="s">
        <v>39</v>
      </c>
      <c r="H61" s="2" t="s">
        <v>40</v>
      </c>
      <c r="I61" s="2" t="s">
        <v>40</v>
      </c>
      <c r="J61" s="2" t="s">
        <v>564</v>
      </c>
      <c r="K61" s="2" t="s">
        <v>109</v>
      </c>
      <c r="L61" s="2" t="s">
        <v>109</v>
      </c>
      <c r="M61" s="2" t="s">
        <v>44</v>
      </c>
      <c r="N61" s="2"/>
      <c r="O61" s="2" t="n">
        <v>7.9093315</v>
      </c>
      <c r="P61" s="2" t="n">
        <v>98.3478107</v>
      </c>
      <c r="Q61" s="2"/>
      <c r="R61" s="2" t="s">
        <v>565</v>
      </c>
      <c r="S61" s="2"/>
      <c r="T61" s="2"/>
      <c r="U61" s="2" t="s">
        <v>566</v>
      </c>
      <c r="V61" s="2"/>
      <c r="W61" s="2" t="s">
        <v>567</v>
      </c>
      <c r="X61" s="2"/>
      <c r="Y61" s="2" t="s">
        <v>48</v>
      </c>
      <c r="Z61" s="3" t="s">
        <v>568</v>
      </c>
      <c r="AA61" s="2" t="s">
        <v>40</v>
      </c>
      <c r="AB61" s="2" t="s">
        <v>50</v>
      </c>
      <c r="AC61" s="2" t="n">
        <v>0</v>
      </c>
      <c r="AD61" s="2" t="n">
        <v>691</v>
      </c>
      <c r="AE61" s="2" t="n">
        <v>0</v>
      </c>
      <c r="AF61" s="2"/>
      <c r="AG61" s="2" t="s">
        <v>569</v>
      </c>
      <c r="AH61" s="2" t="s">
        <v>570</v>
      </c>
      <c r="AI61" s="2" t="n">
        <v>0</v>
      </c>
    </row>
    <row r="62" customFormat="false" ht="15" hidden="false" customHeight="false" outlineLevel="0" collapsed="false">
      <c r="A62" s="2" t="n">
        <v>91316</v>
      </c>
      <c r="B62" s="2" t="s">
        <v>571</v>
      </c>
      <c r="C62" s="2"/>
      <c r="D62" s="2" t="s">
        <v>572</v>
      </c>
      <c r="E62" s="2" t="s">
        <v>117</v>
      </c>
      <c r="F62" s="2" t="s">
        <v>38</v>
      </c>
      <c r="G62" s="2" t="s">
        <v>39</v>
      </c>
      <c r="H62" s="2" t="s">
        <v>40</v>
      </c>
      <c r="I62" s="2" t="s">
        <v>40</v>
      </c>
      <c r="J62" s="2" t="s">
        <v>573</v>
      </c>
      <c r="K62" s="2" t="s">
        <v>68</v>
      </c>
      <c r="L62" s="2" t="s">
        <v>43</v>
      </c>
      <c r="M62" s="2" t="s">
        <v>44</v>
      </c>
      <c r="N62" s="2"/>
      <c r="O62" s="2" t="n">
        <v>7.901349</v>
      </c>
      <c r="P62" s="2" t="n">
        <v>98.377518</v>
      </c>
      <c r="Q62" s="2" t="s">
        <v>574</v>
      </c>
      <c r="R62" s="2"/>
      <c r="S62" s="2"/>
      <c r="T62" s="2"/>
      <c r="U62" s="2" t="s">
        <v>575</v>
      </c>
      <c r="V62" s="2"/>
      <c r="W62" s="2" t="s">
        <v>576</v>
      </c>
      <c r="X62" s="2"/>
      <c r="Y62" s="2" t="s">
        <v>48</v>
      </c>
      <c r="Z62" s="3" t="s">
        <v>577</v>
      </c>
      <c r="AA62" s="2" t="s">
        <v>40</v>
      </c>
      <c r="AB62" s="2" t="s">
        <v>50</v>
      </c>
      <c r="AC62" s="2" t="n">
        <v>0</v>
      </c>
      <c r="AD62" s="2" t="n">
        <v>571</v>
      </c>
      <c r="AE62" s="2" t="n">
        <v>0</v>
      </c>
      <c r="AF62" s="2"/>
      <c r="AG62" s="2" t="s">
        <v>578</v>
      </c>
      <c r="AH62" s="2" t="s">
        <v>579</v>
      </c>
      <c r="AI62" s="2" t="n">
        <v>0</v>
      </c>
    </row>
    <row r="63" customFormat="false" ht="15" hidden="false" customHeight="false" outlineLevel="0" collapsed="false">
      <c r="A63" s="2" t="n">
        <v>91483</v>
      </c>
      <c r="B63" s="2" t="s">
        <v>580</v>
      </c>
      <c r="C63" s="2"/>
      <c r="D63" s="2" t="s">
        <v>262</v>
      </c>
      <c r="E63" s="2" t="s">
        <v>117</v>
      </c>
      <c r="F63" s="2" t="s">
        <v>38</v>
      </c>
      <c r="G63" s="2" t="s">
        <v>39</v>
      </c>
      <c r="H63" s="2" t="s">
        <v>40</v>
      </c>
      <c r="I63" s="2" t="s">
        <v>40</v>
      </c>
      <c r="J63" s="2" t="s">
        <v>581</v>
      </c>
      <c r="K63" s="2" t="s">
        <v>68</v>
      </c>
      <c r="L63" s="2" t="s">
        <v>43</v>
      </c>
      <c r="M63" s="2" t="s">
        <v>44</v>
      </c>
      <c r="N63" s="2"/>
      <c r="O63" s="2" t="n">
        <v>7.885402</v>
      </c>
      <c r="P63" s="2" t="n">
        <v>98.389107</v>
      </c>
      <c r="Q63" s="2"/>
      <c r="R63" s="2" t="s">
        <v>582</v>
      </c>
      <c r="S63" s="2"/>
      <c r="T63" s="2"/>
      <c r="U63" s="2" t="s">
        <v>583</v>
      </c>
      <c r="V63" s="2"/>
      <c r="W63" s="2" t="s">
        <v>584</v>
      </c>
      <c r="X63" s="2"/>
      <c r="Y63" s="2" t="s">
        <v>48</v>
      </c>
      <c r="Z63" s="3" t="s">
        <v>585</v>
      </c>
      <c r="AA63" s="2" t="s">
        <v>40</v>
      </c>
      <c r="AB63" s="2" t="s">
        <v>50</v>
      </c>
      <c r="AC63" s="2" t="n">
        <v>0</v>
      </c>
      <c r="AD63" s="2" t="n">
        <v>920</v>
      </c>
      <c r="AE63" s="2" t="n">
        <v>1</v>
      </c>
      <c r="AF63" s="2"/>
      <c r="AG63" s="2" t="s">
        <v>586</v>
      </c>
      <c r="AH63" s="2" t="s">
        <v>587</v>
      </c>
      <c r="AI63" s="2" t="n">
        <v>0</v>
      </c>
    </row>
    <row r="64" customFormat="false" ht="15" hidden="false" customHeight="false" outlineLevel="0" collapsed="false">
      <c r="A64" s="2" t="n">
        <v>91202</v>
      </c>
      <c r="B64" s="2" t="s">
        <v>588</v>
      </c>
      <c r="C64" s="2"/>
      <c r="D64" s="2" t="s">
        <v>589</v>
      </c>
      <c r="E64" s="2" t="s">
        <v>37</v>
      </c>
      <c r="F64" s="2" t="s">
        <v>38</v>
      </c>
      <c r="G64" s="2" t="s">
        <v>39</v>
      </c>
      <c r="H64" s="2" t="s">
        <v>40</v>
      </c>
      <c r="I64" s="2" t="s">
        <v>40</v>
      </c>
      <c r="J64" s="2" t="s">
        <v>590</v>
      </c>
      <c r="K64" s="2" t="s">
        <v>109</v>
      </c>
      <c r="L64" s="2" t="s">
        <v>109</v>
      </c>
      <c r="M64" s="2" t="s">
        <v>44</v>
      </c>
      <c r="N64" s="2"/>
      <c r="O64" s="2" t="n">
        <v>7.920486</v>
      </c>
      <c r="P64" s="2" t="n">
        <v>98.333962</v>
      </c>
      <c r="Q64" s="2"/>
      <c r="R64" s="2" t="s">
        <v>591</v>
      </c>
      <c r="S64" s="2"/>
      <c r="T64" s="2"/>
      <c r="U64" s="2" t="s">
        <v>592</v>
      </c>
      <c r="V64" s="2"/>
      <c r="W64" s="2" t="s">
        <v>593</v>
      </c>
      <c r="X64" s="2"/>
      <c r="Y64" s="2" t="s">
        <v>48</v>
      </c>
      <c r="Z64" s="3" t="s">
        <v>594</v>
      </c>
      <c r="AA64" s="2" t="s">
        <v>40</v>
      </c>
      <c r="AB64" s="2" t="s">
        <v>50</v>
      </c>
      <c r="AC64" s="2" t="n">
        <v>0</v>
      </c>
      <c r="AD64" s="2" t="n">
        <v>557</v>
      </c>
      <c r="AE64" s="2" t="n">
        <v>1</v>
      </c>
      <c r="AF64" s="2"/>
      <c r="AG64" s="2" t="s">
        <v>595</v>
      </c>
      <c r="AH64" s="2" t="s">
        <v>596</v>
      </c>
      <c r="AI64" s="2" t="n">
        <v>0</v>
      </c>
    </row>
    <row r="65" customFormat="false" ht="15" hidden="false" customHeight="false" outlineLevel="0" collapsed="false">
      <c r="A65" s="2" t="n">
        <v>92086</v>
      </c>
      <c r="B65" s="2" t="s">
        <v>597</v>
      </c>
      <c r="C65" s="2"/>
      <c r="D65" s="2" t="s">
        <v>598</v>
      </c>
      <c r="E65" s="2" t="s">
        <v>117</v>
      </c>
      <c r="F65" s="2" t="s">
        <v>118</v>
      </c>
      <c r="G65" s="2" t="s">
        <v>39</v>
      </c>
      <c r="H65" s="2" t="s">
        <v>40</v>
      </c>
      <c r="I65" s="2" t="s">
        <v>40</v>
      </c>
      <c r="J65" s="2" t="s">
        <v>514</v>
      </c>
      <c r="K65" s="2" t="s">
        <v>78</v>
      </c>
      <c r="L65" s="2" t="s">
        <v>43</v>
      </c>
      <c r="M65" s="2" t="s">
        <v>44</v>
      </c>
      <c r="N65" s="2"/>
      <c r="O65" s="2" t="n">
        <v>7.896259</v>
      </c>
      <c r="P65" s="2" t="n">
        <v>98.365697</v>
      </c>
      <c r="Q65" s="2"/>
      <c r="R65" s="2" t="s">
        <v>599</v>
      </c>
      <c r="S65" s="2"/>
      <c r="T65" s="2"/>
      <c r="U65" s="2" t="s">
        <v>600</v>
      </c>
      <c r="V65" s="2"/>
      <c r="W65" s="2" t="s">
        <v>249</v>
      </c>
      <c r="X65" s="2"/>
      <c r="Y65" s="2" t="s">
        <v>48</v>
      </c>
      <c r="Z65" s="3" t="s">
        <v>601</v>
      </c>
      <c r="AA65" s="2" t="s">
        <v>40</v>
      </c>
      <c r="AB65" s="2" t="s">
        <v>50</v>
      </c>
      <c r="AC65" s="2" t="n">
        <v>0</v>
      </c>
      <c r="AD65" s="2" t="n">
        <v>1129</v>
      </c>
      <c r="AE65" s="2" t="n">
        <v>0</v>
      </c>
      <c r="AF65" s="2"/>
      <c r="AG65" s="2" t="s">
        <v>602</v>
      </c>
      <c r="AH65" s="2" t="s">
        <v>603</v>
      </c>
      <c r="AI65" s="2" t="n">
        <v>0</v>
      </c>
    </row>
    <row r="66" customFormat="false" ht="15" hidden="false" customHeight="false" outlineLevel="0" collapsed="false">
      <c r="A66" s="2" t="n">
        <v>92979</v>
      </c>
      <c r="B66" s="2" t="s">
        <v>604</v>
      </c>
      <c r="C66" s="2"/>
      <c r="D66" s="2" t="s">
        <v>605</v>
      </c>
      <c r="E66" s="2" t="s">
        <v>37</v>
      </c>
      <c r="F66" s="2" t="s">
        <v>38</v>
      </c>
      <c r="G66" s="2" t="s">
        <v>39</v>
      </c>
      <c r="H66" s="2" t="s">
        <v>40</v>
      </c>
      <c r="I66" s="2" t="s">
        <v>40</v>
      </c>
      <c r="J66" s="2" t="s">
        <v>606</v>
      </c>
      <c r="K66" s="2" t="s">
        <v>108</v>
      </c>
      <c r="L66" s="2" t="s">
        <v>109</v>
      </c>
      <c r="M66" s="2" t="s">
        <v>44</v>
      </c>
      <c r="N66" s="2"/>
      <c r="O66" s="2" t="n">
        <v>7.8913569</v>
      </c>
      <c r="P66" s="2" t="n">
        <v>98.2948953</v>
      </c>
      <c r="Q66" s="2"/>
      <c r="R66" s="2" t="s">
        <v>607</v>
      </c>
      <c r="S66" s="2"/>
      <c r="T66" s="2"/>
      <c r="U66" s="2" t="s">
        <v>608</v>
      </c>
      <c r="V66" s="2"/>
      <c r="W66" s="2" t="s">
        <v>609</v>
      </c>
      <c r="X66" s="2"/>
      <c r="Y66" s="2" t="s">
        <v>48</v>
      </c>
      <c r="Z66" s="3" t="s">
        <v>610</v>
      </c>
      <c r="AA66" s="2" t="s">
        <v>40</v>
      </c>
      <c r="AB66" s="2" t="s">
        <v>50</v>
      </c>
      <c r="AC66" s="2" t="n">
        <v>0</v>
      </c>
      <c r="AD66" s="2" t="n">
        <v>617</v>
      </c>
      <c r="AE66" s="2" t="n">
        <v>1</v>
      </c>
      <c r="AF66" s="2"/>
      <c r="AG66" s="2" t="s">
        <v>611</v>
      </c>
      <c r="AH66" s="2" t="s">
        <v>612</v>
      </c>
      <c r="AI66" s="2" t="n">
        <v>0</v>
      </c>
    </row>
    <row r="67" customFormat="false" ht="15" hidden="false" customHeight="false" outlineLevel="0" collapsed="false">
      <c r="A67" s="2" t="n">
        <v>91138</v>
      </c>
      <c r="B67" s="2" t="s">
        <v>613</v>
      </c>
      <c r="C67" s="2"/>
      <c r="D67" s="2" t="s">
        <v>614</v>
      </c>
      <c r="E67" s="2" t="s">
        <v>55</v>
      </c>
      <c r="F67" s="2" t="s">
        <v>38</v>
      </c>
      <c r="G67" s="2" t="s">
        <v>39</v>
      </c>
      <c r="H67" s="2" t="s">
        <v>40</v>
      </c>
      <c r="I67" s="2" t="s">
        <v>40</v>
      </c>
      <c r="J67" s="2" t="s">
        <v>615</v>
      </c>
      <c r="K67" s="2" t="s">
        <v>68</v>
      </c>
      <c r="L67" s="2" t="s">
        <v>43</v>
      </c>
      <c r="M67" s="2" t="s">
        <v>44</v>
      </c>
      <c r="N67" s="2"/>
      <c r="O67" s="2" t="n">
        <v>7.88462</v>
      </c>
      <c r="P67" s="2" t="n">
        <v>98.390009</v>
      </c>
      <c r="Q67" s="2" t="s">
        <v>616</v>
      </c>
      <c r="R67" s="2"/>
      <c r="S67" s="2"/>
      <c r="T67" s="2"/>
      <c r="U67" s="2" t="s">
        <v>617</v>
      </c>
      <c r="V67" s="2"/>
      <c r="W67" s="2" t="s">
        <v>618</v>
      </c>
      <c r="X67" s="2"/>
      <c r="Y67" s="2" t="s">
        <v>48</v>
      </c>
      <c r="Z67" s="3" t="s">
        <v>619</v>
      </c>
      <c r="AA67" s="2" t="s">
        <v>40</v>
      </c>
      <c r="AB67" s="2" t="s">
        <v>50</v>
      </c>
      <c r="AC67" s="2" t="n">
        <v>0</v>
      </c>
      <c r="AD67" s="2" t="n">
        <v>675</v>
      </c>
      <c r="AE67" s="2" t="n">
        <v>1</v>
      </c>
      <c r="AF67" s="2"/>
      <c r="AG67" s="2" t="s">
        <v>620</v>
      </c>
      <c r="AH67" s="2" t="s">
        <v>621</v>
      </c>
      <c r="AI67" s="2" t="n">
        <v>0</v>
      </c>
    </row>
    <row r="68" customFormat="false" ht="15" hidden="false" customHeight="false" outlineLevel="0" collapsed="false">
      <c r="A68" s="2" t="n">
        <v>91762</v>
      </c>
      <c r="B68" s="2" t="s">
        <v>622</v>
      </c>
      <c r="C68" s="2"/>
      <c r="D68" s="2" t="s">
        <v>623</v>
      </c>
      <c r="E68" s="2" t="s">
        <v>117</v>
      </c>
      <c r="F68" s="2" t="s">
        <v>118</v>
      </c>
      <c r="G68" s="2" t="s">
        <v>39</v>
      </c>
      <c r="H68" s="2" t="s">
        <v>40</v>
      </c>
      <c r="I68" s="2" t="s">
        <v>40</v>
      </c>
      <c r="J68" s="2" t="s">
        <v>624</v>
      </c>
      <c r="K68" s="2" t="s">
        <v>42</v>
      </c>
      <c r="L68" s="2" t="s">
        <v>43</v>
      </c>
      <c r="M68" s="2" t="s">
        <v>44</v>
      </c>
      <c r="N68" s="2"/>
      <c r="O68" s="2" t="n">
        <v>7.877813</v>
      </c>
      <c r="P68" s="2" t="n">
        <v>98.3847337</v>
      </c>
      <c r="Q68" s="2"/>
      <c r="R68" s="2" t="s">
        <v>625</v>
      </c>
      <c r="S68" s="2"/>
      <c r="T68" s="2"/>
      <c r="U68" s="2" t="s">
        <v>626</v>
      </c>
      <c r="V68" s="2"/>
      <c r="W68" s="2" t="s">
        <v>627</v>
      </c>
      <c r="X68" s="2"/>
      <c r="Y68" s="2" t="s">
        <v>48</v>
      </c>
      <c r="Z68" s="3" t="s">
        <v>628</v>
      </c>
      <c r="AA68" s="2" t="s">
        <v>40</v>
      </c>
      <c r="AB68" s="2" t="s">
        <v>50</v>
      </c>
      <c r="AC68" s="2" t="n">
        <v>0</v>
      </c>
      <c r="AD68" s="2" t="n">
        <v>554</v>
      </c>
      <c r="AE68" s="2" t="n">
        <v>1</v>
      </c>
      <c r="AF68" s="2"/>
      <c r="AG68" s="2" t="s">
        <v>629</v>
      </c>
      <c r="AH68" s="2" t="s">
        <v>630</v>
      </c>
      <c r="AI68" s="2" t="n">
        <v>0</v>
      </c>
    </row>
    <row r="69" customFormat="false" ht="15" hidden="false" customHeight="false" outlineLevel="0" collapsed="false">
      <c r="A69" s="2" t="n">
        <v>91447</v>
      </c>
      <c r="B69" s="2" t="s">
        <v>631</v>
      </c>
      <c r="C69" s="2"/>
      <c r="D69" s="2" t="s">
        <v>236</v>
      </c>
      <c r="E69" s="2" t="s">
        <v>37</v>
      </c>
      <c r="F69" s="2" t="s">
        <v>38</v>
      </c>
      <c r="G69" s="2" t="s">
        <v>39</v>
      </c>
      <c r="H69" s="2" t="s">
        <v>40</v>
      </c>
      <c r="I69" s="2" t="s">
        <v>40</v>
      </c>
      <c r="J69" s="2" t="s">
        <v>632</v>
      </c>
      <c r="K69" s="2" t="s">
        <v>88</v>
      </c>
      <c r="L69" s="2" t="s">
        <v>43</v>
      </c>
      <c r="M69" s="2" t="s">
        <v>44</v>
      </c>
      <c r="N69" s="2"/>
      <c r="O69" s="2" t="n">
        <v>7.775252</v>
      </c>
      <c r="P69" s="2" t="n">
        <v>98.32673</v>
      </c>
      <c r="Q69" s="2"/>
      <c r="R69" s="2" t="s">
        <v>633</v>
      </c>
      <c r="S69" s="2"/>
      <c r="T69" s="2"/>
      <c r="U69" s="2" t="s">
        <v>634</v>
      </c>
      <c r="V69" s="2"/>
      <c r="W69" s="2" t="s">
        <v>635</v>
      </c>
      <c r="X69" s="2"/>
      <c r="Y69" s="2" t="s">
        <v>48</v>
      </c>
      <c r="Z69" s="3" t="s">
        <v>636</v>
      </c>
      <c r="AA69" s="2" t="s">
        <v>40</v>
      </c>
      <c r="AB69" s="2" t="s">
        <v>50</v>
      </c>
      <c r="AC69" s="2" t="n">
        <v>0</v>
      </c>
      <c r="AD69" s="2" t="n">
        <v>874</v>
      </c>
      <c r="AE69" s="2" t="n">
        <v>0</v>
      </c>
      <c r="AF69" s="2"/>
      <c r="AG69" s="2" t="s">
        <v>637</v>
      </c>
      <c r="AH69" s="2" t="s">
        <v>638</v>
      </c>
      <c r="AI69" s="2" t="n">
        <v>0</v>
      </c>
    </row>
    <row r="70" customFormat="false" ht="15" hidden="false" customHeight="false" outlineLevel="0" collapsed="false">
      <c r="A70" s="2" t="n">
        <v>90813</v>
      </c>
      <c r="B70" s="2" t="s">
        <v>639</v>
      </c>
      <c r="C70" s="2"/>
      <c r="D70" s="2" t="s">
        <v>116</v>
      </c>
      <c r="E70" s="2" t="s">
        <v>37</v>
      </c>
      <c r="F70" s="2" t="s">
        <v>38</v>
      </c>
      <c r="G70" s="2" t="s">
        <v>39</v>
      </c>
      <c r="H70" s="2" t="s">
        <v>40</v>
      </c>
      <c r="I70" s="2" t="s">
        <v>40</v>
      </c>
      <c r="J70" s="2" t="s">
        <v>149</v>
      </c>
      <c r="K70" s="2" t="s">
        <v>42</v>
      </c>
      <c r="L70" s="2" t="s">
        <v>43</v>
      </c>
      <c r="M70" s="2" t="s">
        <v>44</v>
      </c>
      <c r="N70" s="2"/>
      <c r="O70" s="2" t="n">
        <v>7.888553</v>
      </c>
      <c r="P70" s="2" t="n">
        <v>98.384674</v>
      </c>
      <c r="Q70" s="2"/>
      <c r="R70" s="2" t="s">
        <v>640</v>
      </c>
      <c r="S70" s="2"/>
      <c r="T70" s="2"/>
      <c r="U70" s="2" t="s">
        <v>641</v>
      </c>
      <c r="V70" s="2"/>
      <c r="W70" s="2" t="s">
        <v>642</v>
      </c>
      <c r="X70" s="2"/>
      <c r="Y70" s="2" t="s">
        <v>48</v>
      </c>
      <c r="Z70" s="3" t="s">
        <v>643</v>
      </c>
      <c r="AA70" s="2" t="s">
        <v>40</v>
      </c>
      <c r="AB70" s="2" t="s">
        <v>50</v>
      </c>
      <c r="AC70" s="2" t="n">
        <v>0</v>
      </c>
      <c r="AD70" s="2" t="n">
        <v>761</v>
      </c>
      <c r="AE70" s="2" t="n">
        <v>1</v>
      </c>
      <c r="AF70" s="2"/>
      <c r="AG70" s="2" t="s">
        <v>644</v>
      </c>
      <c r="AH70" s="2" t="s">
        <v>645</v>
      </c>
      <c r="AI70" s="2" t="n">
        <v>0</v>
      </c>
    </row>
    <row r="71" customFormat="false" ht="15" hidden="false" customHeight="false" outlineLevel="0" collapsed="false">
      <c r="A71" s="2" t="n">
        <v>91325</v>
      </c>
      <c r="B71" s="2" t="s">
        <v>646</v>
      </c>
      <c r="C71" s="2"/>
      <c r="D71" s="2" t="s">
        <v>647</v>
      </c>
      <c r="E71" s="2" t="s">
        <v>37</v>
      </c>
      <c r="F71" s="2" t="s">
        <v>38</v>
      </c>
      <c r="G71" s="2" t="s">
        <v>39</v>
      </c>
      <c r="H71" s="2" t="s">
        <v>40</v>
      </c>
      <c r="I71" s="2" t="s">
        <v>40</v>
      </c>
      <c r="J71" s="2" t="s">
        <v>415</v>
      </c>
      <c r="K71" s="2" t="s">
        <v>78</v>
      </c>
      <c r="L71" s="2" t="s">
        <v>43</v>
      </c>
      <c r="M71" s="2" t="s">
        <v>44</v>
      </c>
      <c r="N71" s="2"/>
      <c r="O71" s="2" t="n">
        <v>7.9120567</v>
      </c>
      <c r="P71" s="2" t="n">
        <v>98.3682862</v>
      </c>
      <c r="Q71" s="2"/>
      <c r="R71" s="2" t="s">
        <v>648</v>
      </c>
      <c r="S71" s="2"/>
      <c r="T71" s="2"/>
      <c r="U71" s="2" t="s">
        <v>649</v>
      </c>
      <c r="V71" s="2"/>
      <c r="W71" s="2" t="s">
        <v>81</v>
      </c>
      <c r="X71" s="2"/>
      <c r="Y71" s="2" t="s">
        <v>48</v>
      </c>
      <c r="Z71" s="3" t="s">
        <v>650</v>
      </c>
      <c r="AA71" s="2" t="s">
        <v>40</v>
      </c>
      <c r="AB71" s="2" t="s">
        <v>50</v>
      </c>
      <c r="AC71" s="2" t="n">
        <v>0</v>
      </c>
      <c r="AD71" s="2" t="n">
        <v>578</v>
      </c>
      <c r="AE71" s="2" t="n">
        <v>1</v>
      </c>
      <c r="AF71" s="2"/>
      <c r="AG71" s="2" t="s">
        <v>651</v>
      </c>
      <c r="AH71" s="2" t="s">
        <v>652</v>
      </c>
      <c r="AI71" s="2" t="n">
        <v>0</v>
      </c>
    </row>
    <row r="72" customFormat="false" ht="15" hidden="false" customHeight="false" outlineLevel="0" collapsed="false">
      <c r="A72" s="2" t="n">
        <v>91932</v>
      </c>
      <c r="B72" s="2" t="s">
        <v>653</v>
      </c>
      <c r="C72" s="2"/>
      <c r="D72" s="2" t="s">
        <v>654</v>
      </c>
      <c r="E72" s="2" t="s">
        <v>55</v>
      </c>
      <c r="F72" s="2" t="s">
        <v>129</v>
      </c>
      <c r="G72" s="2" t="s">
        <v>39</v>
      </c>
      <c r="H72" s="2" t="s">
        <v>40</v>
      </c>
      <c r="I72" s="2" t="s">
        <v>40</v>
      </c>
      <c r="J72" s="2" t="s">
        <v>289</v>
      </c>
      <c r="K72" s="2" t="s">
        <v>109</v>
      </c>
      <c r="L72" s="2" t="s">
        <v>109</v>
      </c>
      <c r="M72" s="2" t="s">
        <v>44</v>
      </c>
      <c r="N72" s="2"/>
      <c r="O72" s="2" t="n">
        <v>7.898979</v>
      </c>
      <c r="P72" s="2" t="n">
        <v>98.343885</v>
      </c>
      <c r="Q72" s="2"/>
      <c r="R72" s="2" t="s">
        <v>655</v>
      </c>
      <c r="S72" s="2"/>
      <c r="T72" s="2"/>
      <c r="U72" s="2" t="s">
        <v>656</v>
      </c>
      <c r="V72" s="2"/>
      <c r="W72" s="2" t="s">
        <v>657</v>
      </c>
      <c r="X72" s="2"/>
      <c r="Y72" s="2" t="s">
        <v>48</v>
      </c>
      <c r="Z72" s="3" t="s">
        <v>658</v>
      </c>
      <c r="AA72" s="2" t="s">
        <v>40</v>
      </c>
      <c r="AB72" s="2" t="s">
        <v>50</v>
      </c>
      <c r="AC72" s="2" t="n">
        <v>0</v>
      </c>
      <c r="AD72" s="2" t="n">
        <v>656</v>
      </c>
      <c r="AE72" s="2" t="n">
        <v>1</v>
      </c>
      <c r="AF72" s="2"/>
      <c r="AG72" s="2" t="s">
        <v>659</v>
      </c>
      <c r="AH72" s="2" t="s">
        <v>660</v>
      </c>
      <c r="AI72" s="2" t="n">
        <v>0</v>
      </c>
    </row>
    <row r="73" customFormat="false" ht="15" hidden="false" customHeight="false" outlineLevel="0" collapsed="false">
      <c r="A73" s="2" t="n">
        <v>91434</v>
      </c>
      <c r="B73" s="2" t="s">
        <v>661</v>
      </c>
      <c r="C73" s="2"/>
      <c r="D73" s="2" t="s">
        <v>364</v>
      </c>
      <c r="E73" s="2" t="s">
        <v>37</v>
      </c>
      <c r="F73" s="2" t="s">
        <v>38</v>
      </c>
      <c r="G73" s="2" t="s">
        <v>39</v>
      </c>
      <c r="H73" s="2" t="s">
        <v>40</v>
      </c>
      <c r="I73" s="2" t="s">
        <v>40</v>
      </c>
      <c r="J73" s="2" t="s">
        <v>662</v>
      </c>
      <c r="K73" s="2" t="s">
        <v>120</v>
      </c>
      <c r="L73" s="2" t="s">
        <v>58</v>
      </c>
      <c r="M73" s="2" t="s">
        <v>44</v>
      </c>
      <c r="N73" s="2"/>
      <c r="O73" s="2" t="n">
        <v>8.111095</v>
      </c>
      <c r="P73" s="2" t="n">
        <v>98.306465</v>
      </c>
      <c r="Q73" s="2"/>
      <c r="R73" s="2" t="s">
        <v>663</v>
      </c>
      <c r="S73" s="2"/>
      <c r="T73" s="2"/>
      <c r="U73" s="2" t="s">
        <v>664</v>
      </c>
      <c r="V73" s="2"/>
      <c r="W73" s="2" t="s">
        <v>665</v>
      </c>
      <c r="X73" s="2"/>
      <c r="Y73" s="2" t="s">
        <v>48</v>
      </c>
      <c r="Z73" s="3" t="s">
        <v>666</v>
      </c>
      <c r="AA73" s="2" t="s">
        <v>40</v>
      </c>
      <c r="AB73" s="2" t="s">
        <v>50</v>
      </c>
      <c r="AC73" s="2" t="n">
        <v>0</v>
      </c>
      <c r="AD73" s="2" t="n">
        <v>767</v>
      </c>
      <c r="AE73" s="2" t="n">
        <v>1</v>
      </c>
      <c r="AF73" s="2"/>
      <c r="AG73" s="2" t="s">
        <v>667</v>
      </c>
      <c r="AH73" s="2" t="s">
        <v>668</v>
      </c>
      <c r="AI73" s="2" t="n">
        <v>0</v>
      </c>
    </row>
    <row r="74" customFormat="false" ht="15" hidden="false" customHeight="false" outlineLevel="0" collapsed="false">
      <c r="A74" s="2" t="n">
        <v>91361</v>
      </c>
      <c r="B74" s="2" t="s">
        <v>669</v>
      </c>
      <c r="C74" s="2"/>
      <c r="D74" s="2" t="s">
        <v>670</v>
      </c>
      <c r="E74" s="2" t="s">
        <v>37</v>
      </c>
      <c r="F74" s="2" t="s">
        <v>38</v>
      </c>
      <c r="G74" s="2" t="s">
        <v>39</v>
      </c>
      <c r="H74" s="2" t="s">
        <v>40</v>
      </c>
      <c r="I74" s="2" t="s">
        <v>40</v>
      </c>
      <c r="J74" s="2" t="s">
        <v>671</v>
      </c>
      <c r="K74" s="2" t="s">
        <v>68</v>
      </c>
      <c r="L74" s="2" t="s">
        <v>43</v>
      </c>
      <c r="M74" s="2" t="s">
        <v>44</v>
      </c>
      <c r="N74" s="2"/>
      <c r="O74" s="2" t="n">
        <v>7.8867194</v>
      </c>
      <c r="P74" s="2" t="n">
        <v>98.3935658</v>
      </c>
      <c r="Q74" s="2" t="s">
        <v>672</v>
      </c>
      <c r="R74" s="2"/>
      <c r="S74" s="2"/>
      <c r="T74" s="2"/>
      <c r="U74" s="2" t="s">
        <v>673</v>
      </c>
      <c r="V74" s="2"/>
      <c r="W74" s="2" t="s">
        <v>674</v>
      </c>
      <c r="X74" s="2"/>
      <c r="Y74" s="2" t="s">
        <v>48</v>
      </c>
      <c r="Z74" s="3" t="s">
        <v>675</v>
      </c>
      <c r="AA74" s="2" t="s">
        <v>40</v>
      </c>
      <c r="AB74" s="2" t="s">
        <v>50</v>
      </c>
      <c r="AC74" s="2" t="n">
        <v>0</v>
      </c>
      <c r="AD74" s="2" t="n">
        <v>567</v>
      </c>
      <c r="AE74" s="2" t="n">
        <v>0</v>
      </c>
      <c r="AF74" s="2"/>
      <c r="AG74" s="2" t="s">
        <v>676</v>
      </c>
      <c r="AH74" s="2" t="s">
        <v>677</v>
      </c>
      <c r="AI74" s="2" t="n">
        <v>0</v>
      </c>
    </row>
    <row r="75" customFormat="false" ht="15" hidden="false" customHeight="false" outlineLevel="0" collapsed="false">
      <c r="A75" s="2" t="n">
        <v>91329</v>
      </c>
      <c r="B75" s="2" t="s">
        <v>678</v>
      </c>
      <c r="C75" s="2"/>
      <c r="D75" s="2" t="s">
        <v>116</v>
      </c>
      <c r="E75" s="2" t="s">
        <v>117</v>
      </c>
      <c r="F75" s="2" t="s">
        <v>38</v>
      </c>
      <c r="G75" s="2" t="s">
        <v>39</v>
      </c>
      <c r="H75" s="2" t="s">
        <v>40</v>
      </c>
      <c r="I75" s="2" t="s">
        <v>40</v>
      </c>
      <c r="J75" s="2" t="s">
        <v>679</v>
      </c>
      <c r="K75" s="2" t="s">
        <v>78</v>
      </c>
      <c r="L75" s="2" t="s">
        <v>43</v>
      </c>
      <c r="M75" s="2" t="s">
        <v>44</v>
      </c>
      <c r="N75" s="2"/>
      <c r="O75" s="2" t="n">
        <v>7.8710133</v>
      </c>
      <c r="P75" s="2" t="n">
        <v>98.3600023</v>
      </c>
      <c r="Q75" s="2"/>
      <c r="R75" s="2" t="s">
        <v>680</v>
      </c>
      <c r="S75" s="2"/>
      <c r="T75" s="2"/>
      <c r="U75" s="2" t="s">
        <v>681</v>
      </c>
      <c r="V75" s="2"/>
      <c r="W75" s="2" t="s">
        <v>682</v>
      </c>
      <c r="X75" s="2"/>
      <c r="Y75" s="2" t="s">
        <v>48</v>
      </c>
      <c r="Z75" s="3" t="s">
        <v>683</v>
      </c>
      <c r="AA75" s="2" t="s">
        <v>40</v>
      </c>
      <c r="AB75" s="2" t="s">
        <v>50</v>
      </c>
      <c r="AC75" s="2" t="n">
        <v>0</v>
      </c>
      <c r="AD75" s="2" t="n">
        <v>734</v>
      </c>
      <c r="AE75" s="2" t="n">
        <v>0</v>
      </c>
      <c r="AF75" s="2"/>
      <c r="AG75" s="2" t="s">
        <v>684</v>
      </c>
      <c r="AH75" s="2" t="s">
        <v>685</v>
      </c>
      <c r="AI75" s="2" t="n">
        <v>0</v>
      </c>
    </row>
    <row r="76" customFormat="false" ht="15" hidden="false" customHeight="false" outlineLevel="0" collapsed="false">
      <c r="A76" s="2" t="n">
        <v>92109</v>
      </c>
      <c r="B76" s="2" t="s">
        <v>686</v>
      </c>
      <c r="C76" s="2"/>
      <c r="D76" s="2" t="s">
        <v>687</v>
      </c>
      <c r="E76" s="2" t="s">
        <v>117</v>
      </c>
      <c r="F76" s="2" t="s">
        <v>38</v>
      </c>
      <c r="G76" s="2" t="s">
        <v>39</v>
      </c>
      <c r="H76" s="2" t="s">
        <v>40</v>
      </c>
      <c r="I76" s="2" t="s">
        <v>40</v>
      </c>
      <c r="J76" s="2" t="s">
        <v>688</v>
      </c>
      <c r="K76" s="2" t="s">
        <v>78</v>
      </c>
      <c r="L76" s="2" t="s">
        <v>43</v>
      </c>
      <c r="M76" s="2" t="s">
        <v>44</v>
      </c>
      <c r="N76" s="2"/>
      <c r="O76" s="2" t="n">
        <v>7.9122247</v>
      </c>
      <c r="P76" s="2" t="n">
        <v>98.3926185</v>
      </c>
      <c r="Q76" s="2" t="s">
        <v>689</v>
      </c>
      <c r="R76" s="2"/>
      <c r="S76" s="2"/>
      <c r="T76" s="2"/>
      <c r="U76" s="2" t="s">
        <v>690</v>
      </c>
      <c r="V76" s="2"/>
      <c r="W76" s="2" t="s">
        <v>318</v>
      </c>
      <c r="X76" s="2"/>
      <c r="Y76" s="2" t="s">
        <v>48</v>
      </c>
      <c r="Z76" s="3" t="s">
        <v>691</v>
      </c>
      <c r="AA76" s="2" t="s">
        <v>40</v>
      </c>
      <c r="AB76" s="2" t="s">
        <v>50</v>
      </c>
      <c r="AC76" s="2" t="n">
        <v>0</v>
      </c>
      <c r="AD76" s="2" t="n">
        <v>850</v>
      </c>
      <c r="AE76" s="2" t="n">
        <v>0</v>
      </c>
      <c r="AF76" s="2"/>
      <c r="AG76" s="2" t="s">
        <v>692</v>
      </c>
      <c r="AH76" s="2" t="s">
        <v>693</v>
      </c>
      <c r="AI76" s="2" t="n">
        <v>0</v>
      </c>
    </row>
    <row r="77" customFormat="false" ht="15" hidden="false" customHeight="false" outlineLevel="0" collapsed="false">
      <c r="A77" s="2" t="n">
        <v>92087</v>
      </c>
      <c r="B77" s="2" t="s">
        <v>694</v>
      </c>
      <c r="C77" s="2"/>
      <c r="D77" s="2" t="s">
        <v>695</v>
      </c>
      <c r="E77" s="2" t="s">
        <v>37</v>
      </c>
      <c r="F77" s="2" t="s">
        <v>129</v>
      </c>
      <c r="G77" s="2" t="s">
        <v>39</v>
      </c>
      <c r="H77" s="2" t="s">
        <v>40</v>
      </c>
      <c r="I77" s="2" t="s">
        <v>40</v>
      </c>
      <c r="J77" s="2" t="s">
        <v>696</v>
      </c>
      <c r="K77" s="2" t="s">
        <v>42</v>
      </c>
      <c r="L77" s="2" t="s">
        <v>43</v>
      </c>
      <c r="M77" s="2" t="s">
        <v>44</v>
      </c>
      <c r="N77" s="2"/>
      <c r="O77" s="2" t="n">
        <v>7.880248</v>
      </c>
      <c r="P77" s="2" t="n">
        <v>98.375805</v>
      </c>
      <c r="Q77" s="2"/>
      <c r="R77" s="2" t="s">
        <v>697</v>
      </c>
      <c r="S77" s="2"/>
      <c r="T77" s="2"/>
      <c r="U77" s="2" t="s">
        <v>698</v>
      </c>
      <c r="V77" s="2"/>
      <c r="W77" s="2" t="s">
        <v>699</v>
      </c>
      <c r="X77" s="2"/>
      <c r="Y77" s="2" t="s">
        <v>48</v>
      </c>
      <c r="Z77" s="3" t="s">
        <v>700</v>
      </c>
      <c r="AA77" s="2" t="s">
        <v>40</v>
      </c>
      <c r="AB77" s="2" t="s">
        <v>50</v>
      </c>
      <c r="AC77" s="2" t="n">
        <v>0</v>
      </c>
      <c r="AD77" s="2" t="n">
        <v>1738</v>
      </c>
      <c r="AE77" s="2" t="n">
        <v>0</v>
      </c>
      <c r="AF77" s="2"/>
      <c r="AG77" s="2" t="s">
        <v>701</v>
      </c>
      <c r="AH77" s="2" t="s">
        <v>702</v>
      </c>
      <c r="AI77" s="2" t="n">
        <v>0</v>
      </c>
    </row>
    <row r="78" customFormat="false" ht="15" hidden="false" customHeight="false" outlineLevel="0" collapsed="false">
      <c r="A78" s="2" t="n">
        <v>91446</v>
      </c>
      <c r="B78" s="2" t="s">
        <v>703</v>
      </c>
      <c r="C78" s="2"/>
      <c r="D78" s="2" t="s">
        <v>704</v>
      </c>
      <c r="E78" s="2" t="s">
        <v>105</v>
      </c>
      <c r="F78" s="2" t="s">
        <v>129</v>
      </c>
      <c r="G78" s="2" t="s">
        <v>39</v>
      </c>
      <c r="H78" s="2" t="s">
        <v>40</v>
      </c>
      <c r="I78" s="2" t="s">
        <v>40</v>
      </c>
      <c r="J78" s="2" t="s">
        <v>705</v>
      </c>
      <c r="K78" s="2" t="s">
        <v>108</v>
      </c>
      <c r="L78" s="2" t="s">
        <v>109</v>
      </c>
      <c r="M78" s="2" t="s">
        <v>44</v>
      </c>
      <c r="N78" s="2"/>
      <c r="O78" s="2" t="n">
        <v>7.8872678</v>
      </c>
      <c r="P78" s="2" t="n">
        <v>98.2942388</v>
      </c>
      <c r="Q78" s="2" t="s">
        <v>706</v>
      </c>
      <c r="R78" s="2"/>
      <c r="S78" s="2"/>
      <c r="T78" s="2"/>
      <c r="U78" s="2" t="s">
        <v>707</v>
      </c>
      <c r="V78" s="2"/>
      <c r="W78" s="2" t="s">
        <v>708</v>
      </c>
      <c r="X78" s="2"/>
      <c r="Y78" s="2" t="s">
        <v>48</v>
      </c>
      <c r="Z78" s="3" t="s">
        <v>709</v>
      </c>
      <c r="AA78" s="2" t="s">
        <v>40</v>
      </c>
      <c r="AB78" s="2" t="s">
        <v>50</v>
      </c>
      <c r="AC78" s="2" t="n">
        <v>0</v>
      </c>
      <c r="AD78" s="2" t="n">
        <v>633</v>
      </c>
      <c r="AE78" s="2" t="n">
        <v>1</v>
      </c>
      <c r="AF78" s="2"/>
      <c r="AG78" s="2" t="s">
        <v>710</v>
      </c>
      <c r="AH78" s="2" t="s">
        <v>711</v>
      </c>
      <c r="AI78" s="2" t="n">
        <v>0</v>
      </c>
    </row>
    <row r="79" customFormat="false" ht="15" hidden="false" customHeight="false" outlineLevel="0" collapsed="false">
      <c r="A79" s="2" t="n">
        <v>91487</v>
      </c>
      <c r="B79" s="2" t="s">
        <v>712</v>
      </c>
      <c r="C79" s="2"/>
      <c r="D79" s="2" t="s">
        <v>262</v>
      </c>
      <c r="E79" s="2" t="s">
        <v>117</v>
      </c>
      <c r="F79" s="2" t="s">
        <v>38</v>
      </c>
      <c r="G79" s="2" t="s">
        <v>39</v>
      </c>
      <c r="H79" s="2" t="s">
        <v>40</v>
      </c>
      <c r="I79" s="2" t="s">
        <v>40</v>
      </c>
      <c r="J79" s="2" t="s">
        <v>539</v>
      </c>
      <c r="K79" s="2" t="s">
        <v>68</v>
      </c>
      <c r="L79" s="2" t="s">
        <v>43</v>
      </c>
      <c r="M79" s="2" t="s">
        <v>44</v>
      </c>
      <c r="N79" s="2"/>
      <c r="O79" s="2" t="n">
        <v>7.886456</v>
      </c>
      <c r="P79" s="2" t="n">
        <v>98.391565</v>
      </c>
      <c r="Q79" s="2"/>
      <c r="R79" s="2" t="s">
        <v>713</v>
      </c>
      <c r="S79" s="2"/>
      <c r="T79" s="2"/>
      <c r="U79" s="2" t="s">
        <v>714</v>
      </c>
      <c r="V79" s="2"/>
      <c r="W79" s="2" t="s">
        <v>485</v>
      </c>
      <c r="X79" s="2"/>
      <c r="Y79" s="2" t="s">
        <v>48</v>
      </c>
      <c r="Z79" s="3" t="s">
        <v>715</v>
      </c>
      <c r="AA79" s="2" t="s">
        <v>40</v>
      </c>
      <c r="AB79" s="2" t="s">
        <v>50</v>
      </c>
      <c r="AC79" s="2" t="n">
        <v>0</v>
      </c>
      <c r="AD79" s="2" t="n">
        <v>644</v>
      </c>
      <c r="AE79" s="2" t="n">
        <v>0</v>
      </c>
      <c r="AF79" s="2"/>
      <c r="AG79" s="2" t="s">
        <v>716</v>
      </c>
      <c r="AH79" s="2" t="s">
        <v>717</v>
      </c>
      <c r="AI79" s="2" t="n">
        <v>0</v>
      </c>
    </row>
    <row r="80" customFormat="false" ht="15" hidden="false" customHeight="false" outlineLevel="0" collapsed="false">
      <c r="A80" s="2" t="n">
        <v>91794</v>
      </c>
      <c r="B80" s="2" t="s">
        <v>718</v>
      </c>
      <c r="C80" s="2"/>
      <c r="D80" s="2" t="s">
        <v>654</v>
      </c>
      <c r="E80" s="2" t="s">
        <v>37</v>
      </c>
      <c r="F80" s="2" t="s">
        <v>106</v>
      </c>
      <c r="G80" s="2" t="s">
        <v>39</v>
      </c>
      <c r="H80" s="2" t="s">
        <v>40</v>
      </c>
      <c r="I80" s="2" t="s">
        <v>40</v>
      </c>
      <c r="J80" s="2" t="s">
        <v>719</v>
      </c>
      <c r="K80" s="2" t="s">
        <v>68</v>
      </c>
      <c r="L80" s="2" t="s">
        <v>43</v>
      </c>
      <c r="M80" s="2" t="s">
        <v>44</v>
      </c>
      <c r="N80" s="2"/>
      <c r="O80" s="2" t="n">
        <v>7.883439</v>
      </c>
      <c r="P80" s="2" t="n">
        <v>98.397952</v>
      </c>
      <c r="Q80" s="2"/>
      <c r="R80" s="2" t="s">
        <v>720</v>
      </c>
      <c r="S80" s="2"/>
      <c r="T80" s="2"/>
      <c r="U80" s="2" t="s">
        <v>721</v>
      </c>
      <c r="V80" s="2"/>
      <c r="W80" s="2" t="s">
        <v>47</v>
      </c>
      <c r="X80" s="2"/>
      <c r="Y80" s="2" t="s">
        <v>48</v>
      </c>
      <c r="Z80" s="3" t="s">
        <v>722</v>
      </c>
      <c r="AA80" s="2" t="s">
        <v>40</v>
      </c>
      <c r="AB80" s="2" t="s">
        <v>50</v>
      </c>
      <c r="AC80" s="2" t="n">
        <v>0</v>
      </c>
      <c r="AD80" s="2" t="n">
        <v>526</v>
      </c>
      <c r="AE80" s="2" t="n">
        <v>0</v>
      </c>
      <c r="AF80" s="2"/>
      <c r="AG80" s="2" t="s">
        <v>723</v>
      </c>
      <c r="AH80" s="2" t="s">
        <v>724</v>
      </c>
      <c r="AI80" s="2" t="n">
        <v>0</v>
      </c>
    </row>
    <row r="81" customFormat="false" ht="15" hidden="false" customHeight="false" outlineLevel="0" collapsed="false">
      <c r="A81" s="2" t="n">
        <v>92083</v>
      </c>
      <c r="B81" s="2" t="s">
        <v>725</v>
      </c>
      <c r="C81" s="2"/>
      <c r="D81" s="2" t="s">
        <v>726</v>
      </c>
      <c r="E81" s="2" t="s">
        <v>37</v>
      </c>
      <c r="F81" s="2" t="s">
        <v>38</v>
      </c>
      <c r="G81" s="2" t="s">
        <v>39</v>
      </c>
      <c r="H81" s="2" t="s">
        <v>40</v>
      </c>
      <c r="I81" s="2" t="s">
        <v>40</v>
      </c>
      <c r="J81" s="2" t="s">
        <v>727</v>
      </c>
      <c r="K81" s="2" t="s">
        <v>78</v>
      </c>
      <c r="L81" s="2" t="s">
        <v>43</v>
      </c>
      <c r="M81" s="2" t="s">
        <v>44</v>
      </c>
      <c r="N81" s="2"/>
      <c r="O81" s="2" t="n">
        <v>7.9074056</v>
      </c>
      <c r="P81" s="2" t="n">
        <v>98.3736005</v>
      </c>
      <c r="Q81" s="2"/>
      <c r="R81" s="2" t="s">
        <v>728</v>
      </c>
      <c r="S81" s="2"/>
      <c r="T81" s="2"/>
      <c r="U81" s="2" t="s">
        <v>729</v>
      </c>
      <c r="V81" s="2"/>
      <c r="W81" s="2" t="s">
        <v>730</v>
      </c>
      <c r="X81" s="2"/>
      <c r="Y81" s="2" t="s">
        <v>48</v>
      </c>
      <c r="Z81" s="3" t="s">
        <v>731</v>
      </c>
      <c r="AA81" s="2" t="s">
        <v>40</v>
      </c>
      <c r="AB81" s="2" t="s">
        <v>50</v>
      </c>
      <c r="AC81" s="2" t="n">
        <v>0</v>
      </c>
      <c r="AD81" s="2" t="n">
        <v>865</v>
      </c>
      <c r="AE81" s="2" t="n">
        <v>0</v>
      </c>
      <c r="AF81" s="2"/>
      <c r="AG81" s="2" t="s">
        <v>732</v>
      </c>
      <c r="AH81" s="2" t="s">
        <v>733</v>
      </c>
      <c r="AI81" s="2" t="n">
        <v>0</v>
      </c>
    </row>
    <row r="82" customFormat="false" ht="15" hidden="false" customHeight="false" outlineLevel="0" collapsed="false">
      <c r="A82" s="2" t="n">
        <v>91375</v>
      </c>
      <c r="B82" s="2" t="s">
        <v>734</v>
      </c>
      <c r="C82" s="2"/>
      <c r="D82" s="2" t="s">
        <v>735</v>
      </c>
      <c r="E82" s="2" t="s">
        <v>55</v>
      </c>
      <c r="F82" s="2" t="s">
        <v>106</v>
      </c>
      <c r="G82" s="2" t="s">
        <v>39</v>
      </c>
      <c r="H82" s="2" t="s">
        <v>40</v>
      </c>
      <c r="I82" s="2" t="s">
        <v>40</v>
      </c>
      <c r="J82" s="2" t="s">
        <v>514</v>
      </c>
      <c r="K82" s="2" t="s">
        <v>78</v>
      </c>
      <c r="L82" s="2" t="s">
        <v>43</v>
      </c>
      <c r="M82" s="2" t="s">
        <v>44</v>
      </c>
      <c r="N82" s="2"/>
      <c r="O82" s="2" t="n">
        <v>7.894903</v>
      </c>
      <c r="P82" s="2" t="n">
        <v>98.365348</v>
      </c>
      <c r="Q82" s="2" t="s">
        <v>736</v>
      </c>
      <c r="R82" s="2"/>
      <c r="S82" s="2"/>
      <c r="T82" s="2"/>
      <c r="U82" s="2" t="s">
        <v>737</v>
      </c>
      <c r="V82" s="2"/>
      <c r="W82" s="2" t="s">
        <v>292</v>
      </c>
      <c r="X82" s="2"/>
      <c r="Y82" s="2" t="s">
        <v>48</v>
      </c>
      <c r="Z82" s="3" t="s">
        <v>738</v>
      </c>
      <c r="AA82" s="2" t="s">
        <v>40</v>
      </c>
      <c r="AB82" s="2" t="s">
        <v>50</v>
      </c>
      <c r="AC82" s="2" t="n">
        <v>0</v>
      </c>
      <c r="AD82" s="2" t="n">
        <v>595</v>
      </c>
      <c r="AE82" s="2" t="n">
        <v>0</v>
      </c>
      <c r="AF82" s="2"/>
      <c r="AG82" s="2" t="s">
        <v>739</v>
      </c>
      <c r="AH82" s="2" t="s">
        <v>740</v>
      </c>
      <c r="AI82" s="2" t="n">
        <v>0</v>
      </c>
    </row>
    <row r="83" customFormat="false" ht="15" hidden="false" customHeight="false" outlineLevel="0" collapsed="false">
      <c r="A83" s="2" t="n">
        <v>91366</v>
      </c>
      <c r="B83" s="2" t="s">
        <v>741</v>
      </c>
      <c r="C83" s="2"/>
      <c r="D83" s="2" t="s">
        <v>742</v>
      </c>
      <c r="E83" s="2" t="s">
        <v>55</v>
      </c>
      <c r="F83" s="2" t="s">
        <v>106</v>
      </c>
      <c r="G83" s="2" t="s">
        <v>39</v>
      </c>
      <c r="H83" s="2" t="s">
        <v>40</v>
      </c>
      <c r="I83" s="2" t="s">
        <v>40</v>
      </c>
      <c r="J83" s="2" t="s">
        <v>705</v>
      </c>
      <c r="K83" s="2" t="s">
        <v>108</v>
      </c>
      <c r="L83" s="2" t="s">
        <v>109</v>
      </c>
      <c r="M83" s="2" t="s">
        <v>44</v>
      </c>
      <c r="N83" s="2"/>
      <c r="O83" s="2" t="n">
        <v>7.8874599</v>
      </c>
      <c r="P83" s="2" t="n">
        <v>98.2944525</v>
      </c>
      <c r="Q83" s="2"/>
      <c r="R83" s="2" t="s">
        <v>743</v>
      </c>
      <c r="S83" s="2"/>
      <c r="T83" s="2"/>
      <c r="U83" s="2" t="s">
        <v>744</v>
      </c>
      <c r="V83" s="2"/>
      <c r="W83" s="2" t="s">
        <v>745</v>
      </c>
      <c r="X83" s="2"/>
      <c r="Y83" s="2" t="s">
        <v>48</v>
      </c>
      <c r="Z83" s="3" t="s">
        <v>746</v>
      </c>
      <c r="AA83" s="2" t="s">
        <v>40</v>
      </c>
      <c r="AB83" s="2" t="s">
        <v>50</v>
      </c>
      <c r="AC83" s="2" t="n">
        <v>0</v>
      </c>
      <c r="AD83" s="2" t="n">
        <v>727</v>
      </c>
      <c r="AE83" s="2" t="n">
        <v>1</v>
      </c>
      <c r="AF83" s="2"/>
      <c r="AG83" s="2" t="s">
        <v>747</v>
      </c>
      <c r="AH83" s="2" t="s">
        <v>748</v>
      </c>
      <c r="AI83" s="2" t="n">
        <v>0</v>
      </c>
    </row>
    <row r="84" customFormat="false" ht="15" hidden="false" customHeight="false" outlineLevel="0" collapsed="false">
      <c r="A84" s="2" t="n">
        <v>92116</v>
      </c>
      <c r="B84" s="2" t="s">
        <v>749</v>
      </c>
      <c r="C84" s="2"/>
      <c r="D84" s="2" t="s">
        <v>735</v>
      </c>
      <c r="E84" s="2" t="s">
        <v>37</v>
      </c>
      <c r="F84" s="2" t="s">
        <v>38</v>
      </c>
      <c r="G84" s="2" t="s">
        <v>39</v>
      </c>
      <c r="H84" s="2" t="s">
        <v>40</v>
      </c>
      <c r="I84" s="2" t="s">
        <v>40</v>
      </c>
      <c r="J84" s="2" t="s">
        <v>750</v>
      </c>
      <c r="K84" s="2" t="s">
        <v>42</v>
      </c>
      <c r="L84" s="2" t="s">
        <v>43</v>
      </c>
      <c r="M84" s="2" t="s">
        <v>44</v>
      </c>
      <c r="N84" s="2"/>
      <c r="O84" s="2" t="n">
        <v>7.8852403</v>
      </c>
      <c r="P84" s="2" t="n">
        <v>98.3836077</v>
      </c>
      <c r="Q84" s="2"/>
      <c r="R84" s="2" t="s">
        <v>751</v>
      </c>
      <c r="S84" s="2"/>
      <c r="T84" s="2"/>
      <c r="U84" s="2" t="s">
        <v>752</v>
      </c>
      <c r="V84" s="2"/>
      <c r="W84" s="2" t="s">
        <v>753</v>
      </c>
      <c r="X84" s="2"/>
      <c r="Y84" s="2" t="s">
        <v>48</v>
      </c>
      <c r="Z84" s="3" t="s">
        <v>754</v>
      </c>
      <c r="AA84" s="2" t="s">
        <v>40</v>
      </c>
      <c r="AB84" s="2" t="s">
        <v>50</v>
      </c>
      <c r="AC84" s="2" t="n">
        <v>0</v>
      </c>
      <c r="AD84" s="2" t="n">
        <v>719</v>
      </c>
      <c r="AE84" s="2" t="n">
        <v>0</v>
      </c>
      <c r="AF84" s="2"/>
      <c r="AG84" s="2" t="s">
        <v>755</v>
      </c>
      <c r="AH84" s="2" t="s">
        <v>756</v>
      </c>
      <c r="AI84" s="2" t="n">
        <v>0</v>
      </c>
    </row>
    <row r="85" customFormat="false" ht="15" hidden="false" customHeight="false" outlineLevel="0" collapsed="false">
      <c r="A85" s="2" t="n">
        <v>91399</v>
      </c>
      <c r="B85" s="2" t="s">
        <v>757</v>
      </c>
      <c r="C85" s="2"/>
      <c r="D85" s="2" t="s">
        <v>76</v>
      </c>
      <c r="E85" s="2" t="s">
        <v>37</v>
      </c>
      <c r="F85" s="2" t="s">
        <v>38</v>
      </c>
      <c r="G85" s="2" t="s">
        <v>39</v>
      </c>
      <c r="H85" s="2" t="s">
        <v>40</v>
      </c>
      <c r="I85" s="2" t="s">
        <v>40</v>
      </c>
      <c r="J85" s="2" t="s">
        <v>758</v>
      </c>
      <c r="K85" s="2" t="s">
        <v>68</v>
      </c>
      <c r="L85" s="2" t="s">
        <v>43</v>
      </c>
      <c r="M85" s="2" t="s">
        <v>44</v>
      </c>
      <c r="N85" s="2"/>
      <c r="O85" s="2" t="n">
        <v>7.883008</v>
      </c>
      <c r="P85" s="2" t="n">
        <v>98.389856</v>
      </c>
      <c r="Q85" s="2"/>
      <c r="R85" s="2" t="s">
        <v>759</v>
      </c>
      <c r="S85" s="2"/>
      <c r="T85" s="2"/>
      <c r="U85" s="2" t="s">
        <v>760</v>
      </c>
      <c r="V85" s="2"/>
      <c r="W85" s="2" t="s">
        <v>761</v>
      </c>
      <c r="X85" s="2"/>
      <c r="Y85" s="2" t="s">
        <v>48</v>
      </c>
      <c r="Z85" s="3" t="s">
        <v>762</v>
      </c>
      <c r="AA85" s="2" t="s">
        <v>40</v>
      </c>
      <c r="AB85" s="2" t="s">
        <v>50</v>
      </c>
      <c r="AC85" s="2" t="n">
        <v>0</v>
      </c>
      <c r="AD85" s="2" t="n">
        <v>1069</v>
      </c>
      <c r="AE85" s="2" t="n">
        <v>1</v>
      </c>
      <c r="AF85" s="2"/>
      <c r="AG85" s="2" t="s">
        <v>763</v>
      </c>
      <c r="AH85" s="2" t="s">
        <v>764</v>
      </c>
      <c r="AI85" s="2" t="n">
        <v>0</v>
      </c>
    </row>
    <row r="86" customFormat="false" ht="15" hidden="false" customHeight="false" outlineLevel="0" collapsed="false">
      <c r="A86" s="2" t="n">
        <v>91349</v>
      </c>
      <c r="B86" s="2" t="s">
        <v>765</v>
      </c>
      <c r="C86" s="2"/>
      <c r="D86" s="2" t="s">
        <v>766</v>
      </c>
      <c r="E86" s="2" t="s">
        <v>117</v>
      </c>
      <c r="F86" s="2" t="s">
        <v>38</v>
      </c>
      <c r="G86" s="2" t="s">
        <v>39</v>
      </c>
      <c r="H86" s="2" t="s">
        <v>40</v>
      </c>
      <c r="I86" s="2" t="s">
        <v>40</v>
      </c>
      <c r="J86" s="2" t="s">
        <v>767</v>
      </c>
      <c r="K86" s="2" t="s">
        <v>42</v>
      </c>
      <c r="L86" s="2" t="s">
        <v>43</v>
      </c>
      <c r="M86" s="2" t="s">
        <v>44</v>
      </c>
      <c r="N86" s="2"/>
      <c r="O86" s="2" t="n">
        <v>7.881339</v>
      </c>
      <c r="P86" s="2" t="n">
        <v>98.386509</v>
      </c>
      <c r="Q86" s="2"/>
      <c r="R86" s="2" t="s">
        <v>768</v>
      </c>
      <c r="S86" s="2"/>
      <c r="T86" s="2"/>
      <c r="U86" s="2" t="s">
        <v>769</v>
      </c>
      <c r="V86" s="2"/>
      <c r="W86" s="2" t="s">
        <v>452</v>
      </c>
      <c r="X86" s="2"/>
      <c r="Y86" s="2" t="s">
        <v>48</v>
      </c>
      <c r="Z86" s="3" t="s">
        <v>770</v>
      </c>
      <c r="AA86" s="2" t="s">
        <v>40</v>
      </c>
      <c r="AB86" s="2" t="s">
        <v>50</v>
      </c>
      <c r="AC86" s="2" t="n">
        <v>0</v>
      </c>
      <c r="AD86" s="2" t="n">
        <v>726</v>
      </c>
      <c r="AE86" s="2" t="n">
        <v>1</v>
      </c>
      <c r="AF86" s="2"/>
      <c r="AG86" s="2" t="s">
        <v>771</v>
      </c>
      <c r="AH86" s="2" t="s">
        <v>772</v>
      </c>
      <c r="AI86" s="2" t="n">
        <v>0</v>
      </c>
    </row>
    <row r="87" customFormat="false" ht="15" hidden="false" customHeight="false" outlineLevel="0" collapsed="false">
      <c r="A87" s="2" t="n">
        <v>91378</v>
      </c>
      <c r="B87" s="2" t="s">
        <v>773</v>
      </c>
      <c r="C87" s="2"/>
      <c r="D87" s="2" t="s">
        <v>36</v>
      </c>
      <c r="E87" s="2" t="s">
        <v>37</v>
      </c>
      <c r="F87" s="2" t="s">
        <v>38</v>
      </c>
      <c r="G87" s="2" t="s">
        <v>39</v>
      </c>
      <c r="H87" s="2" t="s">
        <v>40</v>
      </c>
      <c r="I87" s="2" t="s">
        <v>40</v>
      </c>
      <c r="J87" s="2" t="s">
        <v>774</v>
      </c>
      <c r="K87" s="2" t="s">
        <v>78</v>
      </c>
      <c r="L87" s="2" t="s">
        <v>43</v>
      </c>
      <c r="M87" s="2" t="s">
        <v>44</v>
      </c>
      <c r="N87" s="2"/>
      <c r="O87" s="2" t="n">
        <v>7.9059766</v>
      </c>
      <c r="P87" s="2" t="n">
        <v>98.3810637</v>
      </c>
      <c r="Q87" s="2"/>
      <c r="R87" s="2" t="s">
        <v>775</v>
      </c>
      <c r="S87" s="2"/>
      <c r="T87" s="2"/>
      <c r="U87" s="2" t="s">
        <v>776</v>
      </c>
      <c r="V87" s="2"/>
      <c r="W87" s="2" t="s">
        <v>418</v>
      </c>
      <c r="X87" s="2"/>
      <c r="Y87" s="2" t="s">
        <v>48</v>
      </c>
      <c r="Z87" s="3" t="s">
        <v>777</v>
      </c>
      <c r="AA87" s="2" t="s">
        <v>40</v>
      </c>
      <c r="AB87" s="2" t="s">
        <v>50</v>
      </c>
      <c r="AC87" s="2" t="n">
        <v>0</v>
      </c>
      <c r="AD87" s="2" t="n">
        <v>680</v>
      </c>
      <c r="AE87" s="2" t="n">
        <v>1</v>
      </c>
      <c r="AF87" s="2"/>
      <c r="AG87" s="2" t="s">
        <v>778</v>
      </c>
      <c r="AH87" s="2" t="s">
        <v>779</v>
      </c>
      <c r="AI87" s="2" t="n">
        <v>0</v>
      </c>
    </row>
    <row r="88" customFormat="false" ht="15" hidden="false" customHeight="false" outlineLevel="0" collapsed="false">
      <c r="A88" s="2" t="n">
        <v>91249</v>
      </c>
      <c r="B88" s="2" t="s">
        <v>780</v>
      </c>
      <c r="C88" s="2"/>
      <c r="D88" s="2" t="s">
        <v>781</v>
      </c>
      <c r="E88" s="2" t="s">
        <v>105</v>
      </c>
      <c r="F88" s="2" t="s">
        <v>106</v>
      </c>
      <c r="G88" s="2" t="s">
        <v>39</v>
      </c>
      <c r="H88" s="2" t="s">
        <v>40</v>
      </c>
      <c r="I88" s="2" t="s">
        <v>40</v>
      </c>
      <c r="J88" s="2" t="s">
        <v>782</v>
      </c>
      <c r="K88" s="2" t="s">
        <v>474</v>
      </c>
      <c r="L88" s="2" t="s">
        <v>43</v>
      </c>
      <c r="M88" s="2" t="s">
        <v>44</v>
      </c>
      <c r="N88" s="2"/>
      <c r="O88" s="2" t="n">
        <v>7.8443959</v>
      </c>
      <c r="P88" s="2" t="n">
        <v>98.3345648</v>
      </c>
      <c r="Q88" s="2"/>
      <c r="R88" s="2" t="s">
        <v>783</v>
      </c>
      <c r="S88" s="2"/>
      <c r="T88" s="2"/>
      <c r="U88" s="2" t="s">
        <v>784</v>
      </c>
      <c r="V88" s="2"/>
      <c r="W88" s="2" t="s">
        <v>785</v>
      </c>
      <c r="X88" s="2"/>
      <c r="Y88" s="2" t="s">
        <v>48</v>
      </c>
      <c r="Z88" s="3" t="s">
        <v>786</v>
      </c>
      <c r="AA88" s="2" t="s">
        <v>40</v>
      </c>
      <c r="AB88" s="2" t="s">
        <v>50</v>
      </c>
      <c r="AC88" s="2" t="n">
        <v>0</v>
      </c>
      <c r="AD88" s="2" t="n">
        <v>981</v>
      </c>
      <c r="AE88" s="2" t="n">
        <v>0</v>
      </c>
      <c r="AF88" s="2"/>
      <c r="AG88" s="2" t="s">
        <v>787</v>
      </c>
      <c r="AH88" s="2" t="s">
        <v>788</v>
      </c>
      <c r="AI88" s="2" t="n">
        <v>0</v>
      </c>
    </row>
    <row r="89" customFormat="false" ht="15" hidden="false" customHeight="false" outlineLevel="0" collapsed="false">
      <c r="A89" s="2" t="n">
        <v>91438</v>
      </c>
      <c r="B89" s="2" t="s">
        <v>789</v>
      </c>
      <c r="C89" s="2"/>
      <c r="D89" s="2" t="s">
        <v>790</v>
      </c>
      <c r="E89" s="2" t="s">
        <v>117</v>
      </c>
      <c r="F89" s="2" t="s">
        <v>38</v>
      </c>
      <c r="G89" s="2" t="s">
        <v>39</v>
      </c>
      <c r="H89" s="2" t="s">
        <v>40</v>
      </c>
      <c r="I89" s="2" t="s">
        <v>40</v>
      </c>
      <c r="J89" s="2" t="s">
        <v>791</v>
      </c>
      <c r="K89" s="2" t="s">
        <v>78</v>
      </c>
      <c r="L89" s="2" t="s">
        <v>43</v>
      </c>
      <c r="M89" s="2" t="s">
        <v>44</v>
      </c>
      <c r="N89" s="2"/>
      <c r="O89" s="2" t="n">
        <v>7.904972</v>
      </c>
      <c r="P89" s="2" t="n">
        <v>98.37736</v>
      </c>
      <c r="Q89" s="2" t="s">
        <v>792</v>
      </c>
      <c r="R89" s="2"/>
      <c r="S89" s="2"/>
      <c r="T89" s="2"/>
      <c r="U89" s="2" t="s">
        <v>793</v>
      </c>
      <c r="V89" s="2"/>
      <c r="W89" s="2" t="s">
        <v>794</v>
      </c>
      <c r="X89" s="2"/>
      <c r="Y89" s="2" t="s">
        <v>48</v>
      </c>
      <c r="Z89" s="3" t="s">
        <v>795</v>
      </c>
      <c r="AA89" s="2" t="s">
        <v>40</v>
      </c>
      <c r="AB89" s="2" t="s">
        <v>50</v>
      </c>
      <c r="AC89" s="2" t="n">
        <v>0</v>
      </c>
      <c r="AD89" s="2" t="n">
        <v>622</v>
      </c>
      <c r="AE89" s="2" t="n">
        <v>1</v>
      </c>
      <c r="AF89" s="2"/>
      <c r="AG89" s="2" t="s">
        <v>796</v>
      </c>
      <c r="AH89" s="2" t="s">
        <v>797</v>
      </c>
      <c r="AI89" s="2" t="n">
        <v>0</v>
      </c>
    </row>
    <row r="90" customFormat="false" ht="15" hidden="false" customHeight="false" outlineLevel="0" collapsed="false">
      <c r="A90" s="2" t="n">
        <v>92123</v>
      </c>
      <c r="B90" s="2" t="s">
        <v>798</v>
      </c>
      <c r="C90" s="2"/>
      <c r="D90" s="2" t="s">
        <v>236</v>
      </c>
      <c r="E90" s="2" t="s">
        <v>55</v>
      </c>
      <c r="F90" s="2" t="s">
        <v>106</v>
      </c>
      <c r="G90" s="2" t="s">
        <v>39</v>
      </c>
      <c r="H90" s="2" t="s">
        <v>40</v>
      </c>
      <c r="I90" s="2" t="s">
        <v>40</v>
      </c>
      <c r="J90" s="2" t="s">
        <v>799</v>
      </c>
      <c r="K90" s="2" t="s">
        <v>120</v>
      </c>
      <c r="L90" s="2" t="s">
        <v>58</v>
      </c>
      <c r="M90" s="2" t="s">
        <v>44</v>
      </c>
      <c r="N90" s="2"/>
      <c r="O90" s="2" t="n">
        <v>8.1756961</v>
      </c>
      <c r="P90" s="2" t="n">
        <v>98.302053</v>
      </c>
      <c r="Q90" s="2"/>
      <c r="R90" s="2" t="s">
        <v>800</v>
      </c>
      <c r="S90" s="2"/>
      <c r="T90" s="2"/>
      <c r="U90" s="2" t="s">
        <v>801</v>
      </c>
      <c r="V90" s="2"/>
      <c r="W90" s="2" t="s">
        <v>593</v>
      </c>
      <c r="X90" s="2"/>
      <c r="Y90" s="2" t="s">
        <v>48</v>
      </c>
      <c r="Z90" s="3" t="s">
        <v>802</v>
      </c>
      <c r="AA90" s="2" t="s">
        <v>40</v>
      </c>
      <c r="AB90" s="2" t="s">
        <v>50</v>
      </c>
      <c r="AC90" s="2" t="n">
        <v>0</v>
      </c>
      <c r="AD90" s="2" t="n">
        <v>702</v>
      </c>
      <c r="AE90" s="2" t="n">
        <v>0</v>
      </c>
      <c r="AF90" s="2"/>
      <c r="AG90" s="2" t="s">
        <v>803</v>
      </c>
      <c r="AH90" s="2" t="s">
        <v>804</v>
      </c>
      <c r="AI90" s="2" t="n">
        <v>0</v>
      </c>
    </row>
    <row r="91" customFormat="false" ht="15" hidden="false" customHeight="false" outlineLevel="0" collapsed="false">
      <c r="A91" s="2" t="n">
        <v>90849</v>
      </c>
      <c r="B91" s="2" t="s">
        <v>805</v>
      </c>
      <c r="C91" s="2"/>
      <c r="D91" s="2" t="s">
        <v>806</v>
      </c>
      <c r="E91" s="2" t="s">
        <v>37</v>
      </c>
      <c r="F91" s="2" t="s">
        <v>38</v>
      </c>
      <c r="G91" s="2" t="s">
        <v>39</v>
      </c>
      <c r="H91" s="2" t="s">
        <v>40</v>
      </c>
      <c r="I91" s="2" t="s">
        <v>40</v>
      </c>
      <c r="J91" s="2" t="s">
        <v>807</v>
      </c>
      <c r="K91" s="2" t="s">
        <v>108</v>
      </c>
      <c r="L91" s="2" t="s">
        <v>109</v>
      </c>
      <c r="M91" s="2" t="s">
        <v>44</v>
      </c>
      <c r="N91" s="2"/>
      <c r="O91" s="2" t="n">
        <v>7.88775</v>
      </c>
      <c r="P91" s="2" t="n">
        <v>98.27148</v>
      </c>
      <c r="Q91" s="2"/>
      <c r="R91" s="2" t="s">
        <v>808</v>
      </c>
      <c r="S91" s="2"/>
      <c r="T91" s="2"/>
      <c r="U91" s="2" t="s">
        <v>809</v>
      </c>
      <c r="V91" s="2"/>
      <c r="W91" s="2" t="s">
        <v>452</v>
      </c>
      <c r="X91" s="2"/>
      <c r="Y91" s="2" t="s">
        <v>48</v>
      </c>
      <c r="Z91" s="3" t="s">
        <v>810</v>
      </c>
      <c r="AA91" s="2" t="s">
        <v>40</v>
      </c>
      <c r="AB91" s="2" t="s">
        <v>50</v>
      </c>
      <c r="AC91" s="2" t="n">
        <v>0</v>
      </c>
      <c r="AD91" s="2" t="n">
        <v>827</v>
      </c>
      <c r="AE91" s="2" t="n">
        <v>1</v>
      </c>
      <c r="AF91" s="2"/>
      <c r="AG91" s="2" t="s">
        <v>811</v>
      </c>
      <c r="AH91" s="2" t="s">
        <v>812</v>
      </c>
      <c r="AI91" s="2" t="n">
        <v>0</v>
      </c>
    </row>
    <row r="92" customFormat="false" ht="15" hidden="false" customHeight="false" outlineLevel="0" collapsed="false">
      <c r="A92" s="2" t="n">
        <v>90836</v>
      </c>
      <c r="B92" s="2" t="s">
        <v>813</v>
      </c>
      <c r="C92" s="2"/>
      <c r="D92" s="2" t="s">
        <v>814</v>
      </c>
      <c r="E92" s="2" t="s">
        <v>55</v>
      </c>
      <c r="F92" s="2" t="s">
        <v>237</v>
      </c>
      <c r="G92" s="2" t="s">
        <v>39</v>
      </c>
      <c r="H92" s="2" t="s">
        <v>40</v>
      </c>
      <c r="I92" s="2" t="s">
        <v>40</v>
      </c>
      <c r="J92" s="2" t="s">
        <v>815</v>
      </c>
      <c r="K92" s="2" t="s">
        <v>474</v>
      </c>
      <c r="L92" s="2" t="s">
        <v>43</v>
      </c>
      <c r="M92" s="2" t="s">
        <v>44</v>
      </c>
      <c r="N92" s="2"/>
      <c r="O92" s="2" t="n">
        <v>7.819995</v>
      </c>
      <c r="P92" s="2" t="n">
        <v>98.344269</v>
      </c>
      <c r="Q92" s="2" t="s">
        <v>816</v>
      </c>
      <c r="R92" s="2"/>
      <c r="S92" s="2"/>
      <c r="T92" s="2"/>
      <c r="U92" s="2" t="s">
        <v>817</v>
      </c>
      <c r="V92" s="2"/>
      <c r="W92" s="2" t="s">
        <v>533</v>
      </c>
      <c r="X92" s="2"/>
      <c r="Y92" s="2" t="s">
        <v>48</v>
      </c>
      <c r="Z92" s="3" t="s">
        <v>818</v>
      </c>
      <c r="AA92" s="2" t="s">
        <v>40</v>
      </c>
      <c r="AB92" s="2" t="s">
        <v>50</v>
      </c>
      <c r="AC92" s="2" t="n">
        <v>0</v>
      </c>
      <c r="AD92" s="2" t="n">
        <v>713</v>
      </c>
      <c r="AE92" s="2" t="n">
        <v>1</v>
      </c>
      <c r="AF92" s="2"/>
      <c r="AG92" s="2" t="s">
        <v>819</v>
      </c>
      <c r="AH92" s="2" t="s">
        <v>820</v>
      </c>
      <c r="AI92" s="2" t="n">
        <v>0</v>
      </c>
    </row>
    <row r="93" customFormat="false" ht="15" hidden="false" customHeight="false" outlineLevel="0" collapsed="false">
      <c r="A93" s="2" t="n">
        <v>90819</v>
      </c>
      <c r="B93" s="2" t="s">
        <v>821</v>
      </c>
      <c r="C93" s="2"/>
      <c r="D93" s="2" t="s">
        <v>822</v>
      </c>
      <c r="E93" s="2" t="s">
        <v>37</v>
      </c>
      <c r="F93" s="2" t="s">
        <v>106</v>
      </c>
      <c r="G93" s="2" t="s">
        <v>39</v>
      </c>
      <c r="H93" s="2" t="s">
        <v>40</v>
      </c>
      <c r="I93" s="2" t="s">
        <v>40</v>
      </c>
      <c r="J93" s="2" t="s">
        <v>823</v>
      </c>
      <c r="K93" s="2" t="s">
        <v>109</v>
      </c>
      <c r="L93" s="2" t="s">
        <v>109</v>
      </c>
      <c r="M93" s="2" t="s">
        <v>44</v>
      </c>
      <c r="N93" s="2"/>
      <c r="O93" s="2" t="n">
        <v>7.9102336</v>
      </c>
      <c r="P93" s="2" t="n">
        <v>98.34282</v>
      </c>
      <c r="Q93" s="2" t="s">
        <v>824</v>
      </c>
      <c r="R93" s="2"/>
      <c r="S93" s="2"/>
      <c r="T93" s="2"/>
      <c r="U93" s="2" t="s">
        <v>825</v>
      </c>
      <c r="V93" s="2"/>
      <c r="W93" s="2" t="s">
        <v>292</v>
      </c>
      <c r="X93" s="2"/>
      <c r="Y93" s="2" t="s">
        <v>48</v>
      </c>
      <c r="Z93" s="3" t="s">
        <v>826</v>
      </c>
      <c r="AA93" s="2" t="s">
        <v>40</v>
      </c>
      <c r="AB93" s="2" t="s">
        <v>50</v>
      </c>
      <c r="AC93" s="2" t="n">
        <v>0</v>
      </c>
      <c r="AD93" s="2" t="n">
        <v>744</v>
      </c>
      <c r="AE93" s="2" t="n">
        <v>0</v>
      </c>
      <c r="AF93" s="2"/>
      <c r="AG93" s="2" t="s">
        <v>827</v>
      </c>
      <c r="AH93" s="2" t="s">
        <v>828</v>
      </c>
      <c r="AI93" s="2" t="n">
        <v>0</v>
      </c>
    </row>
    <row r="94" customFormat="false" ht="15" hidden="false" customHeight="false" outlineLevel="0" collapsed="false">
      <c r="A94" s="2" t="n">
        <v>90860</v>
      </c>
      <c r="B94" s="2" t="s">
        <v>829</v>
      </c>
      <c r="C94" s="2"/>
      <c r="D94" s="2" t="s">
        <v>830</v>
      </c>
      <c r="E94" s="2" t="s">
        <v>55</v>
      </c>
      <c r="F94" s="2" t="s">
        <v>129</v>
      </c>
      <c r="G94" s="2" t="s">
        <v>39</v>
      </c>
      <c r="H94" s="2" t="s">
        <v>40</v>
      </c>
      <c r="I94" s="2" t="s">
        <v>40</v>
      </c>
      <c r="J94" s="2" t="s">
        <v>831</v>
      </c>
      <c r="K94" s="2" t="s">
        <v>78</v>
      </c>
      <c r="L94" s="2" t="s">
        <v>43</v>
      </c>
      <c r="M94" s="2" t="s">
        <v>44</v>
      </c>
      <c r="N94" s="2"/>
      <c r="O94" s="2" t="n">
        <v>7.893194</v>
      </c>
      <c r="P94" s="2" t="n">
        <v>98.379839</v>
      </c>
      <c r="Q94" s="2" t="s">
        <v>832</v>
      </c>
      <c r="R94" s="2"/>
      <c r="S94" s="2"/>
      <c r="T94" s="2"/>
      <c r="U94" s="2" t="s">
        <v>833</v>
      </c>
      <c r="V94" s="2"/>
      <c r="W94" s="2" t="s">
        <v>834</v>
      </c>
      <c r="X94" s="2"/>
      <c r="Y94" s="2" t="s">
        <v>48</v>
      </c>
      <c r="Z94" s="3" t="s">
        <v>835</v>
      </c>
      <c r="AA94" s="2" t="s">
        <v>40</v>
      </c>
      <c r="AB94" s="2" t="s">
        <v>50</v>
      </c>
      <c r="AC94" s="2" t="n">
        <v>0</v>
      </c>
      <c r="AD94" s="2" t="n">
        <v>699</v>
      </c>
      <c r="AE94" s="2" t="n">
        <v>0</v>
      </c>
      <c r="AF94" s="2"/>
      <c r="AG94" s="2" t="s">
        <v>836</v>
      </c>
      <c r="AH94" s="2" t="s">
        <v>837</v>
      </c>
      <c r="AI94" s="2" t="n">
        <v>0</v>
      </c>
    </row>
    <row r="95" customFormat="false" ht="15" hidden="false" customHeight="false" outlineLevel="0" collapsed="false">
      <c r="A95" s="2" t="n">
        <v>91165</v>
      </c>
      <c r="B95" s="2" t="s">
        <v>838</v>
      </c>
      <c r="C95" s="2"/>
      <c r="D95" s="2" t="s">
        <v>116</v>
      </c>
      <c r="E95" s="2" t="s">
        <v>37</v>
      </c>
      <c r="F95" s="2" t="s">
        <v>38</v>
      </c>
      <c r="G95" s="2" t="s">
        <v>40</v>
      </c>
      <c r="H95" s="2" t="s">
        <v>40</v>
      </c>
      <c r="I95" s="2" t="s">
        <v>40</v>
      </c>
      <c r="J95" s="2" t="s">
        <v>839</v>
      </c>
      <c r="K95" s="2" t="s">
        <v>68</v>
      </c>
      <c r="L95" s="2" t="s">
        <v>43</v>
      </c>
      <c r="M95" s="2" t="s">
        <v>44</v>
      </c>
      <c r="N95" s="2"/>
      <c r="O95" s="2" t="n">
        <v>7.902229</v>
      </c>
      <c r="P95" s="2" t="n">
        <v>98.377486</v>
      </c>
      <c r="Q95" s="2"/>
      <c r="R95" s="2" t="s">
        <v>840</v>
      </c>
      <c r="S95" s="2"/>
      <c r="T95" s="2"/>
      <c r="U95" s="2" t="s">
        <v>841</v>
      </c>
      <c r="V95" s="2"/>
      <c r="W95" s="2" t="s">
        <v>222</v>
      </c>
      <c r="X95" s="2"/>
      <c r="Y95" s="2" t="s">
        <v>48</v>
      </c>
      <c r="Z95" s="3" t="s">
        <v>842</v>
      </c>
      <c r="AA95" s="2" t="s">
        <v>40</v>
      </c>
      <c r="AB95" s="2" t="s">
        <v>50</v>
      </c>
      <c r="AC95" s="2" t="n">
        <v>0</v>
      </c>
      <c r="AD95" s="2" t="n">
        <v>678</v>
      </c>
      <c r="AE95" s="2" t="n">
        <v>0</v>
      </c>
      <c r="AF95" s="2"/>
      <c r="AG95" s="2" t="s">
        <v>843</v>
      </c>
      <c r="AH95" s="2" t="s">
        <v>844</v>
      </c>
      <c r="AI95" s="2" t="n">
        <v>0</v>
      </c>
    </row>
    <row r="96" customFormat="false" ht="15" hidden="false" customHeight="false" outlineLevel="0" collapsed="false">
      <c r="A96" s="2" t="n">
        <v>91759</v>
      </c>
      <c r="B96" s="2" t="s">
        <v>845</v>
      </c>
      <c r="C96" s="2"/>
      <c r="D96" s="2" t="s">
        <v>846</v>
      </c>
      <c r="E96" s="2" t="s">
        <v>37</v>
      </c>
      <c r="F96" s="2" t="s">
        <v>38</v>
      </c>
      <c r="G96" s="2" t="s">
        <v>39</v>
      </c>
      <c r="H96" s="2" t="s">
        <v>40</v>
      </c>
      <c r="I96" s="2" t="s">
        <v>40</v>
      </c>
      <c r="J96" s="2" t="s">
        <v>847</v>
      </c>
      <c r="K96" s="2" t="s">
        <v>68</v>
      </c>
      <c r="L96" s="2" t="s">
        <v>43</v>
      </c>
      <c r="M96" s="2" t="s">
        <v>44</v>
      </c>
      <c r="N96" s="2"/>
      <c r="O96" s="2" t="n">
        <v>7.88935</v>
      </c>
      <c r="P96" s="2" t="n">
        <v>98.386847</v>
      </c>
      <c r="Q96" s="2"/>
      <c r="R96" s="2" t="s">
        <v>848</v>
      </c>
      <c r="S96" s="2"/>
      <c r="T96" s="2"/>
      <c r="U96" s="2" t="s">
        <v>849</v>
      </c>
      <c r="V96" s="2"/>
      <c r="W96" s="2" t="s">
        <v>443</v>
      </c>
      <c r="X96" s="2"/>
      <c r="Y96" s="2" t="s">
        <v>48</v>
      </c>
      <c r="Z96" s="3" t="s">
        <v>850</v>
      </c>
      <c r="AA96" s="2" t="s">
        <v>40</v>
      </c>
      <c r="AB96" s="2" t="s">
        <v>50</v>
      </c>
      <c r="AC96" s="2" t="n">
        <v>0</v>
      </c>
      <c r="AD96" s="2" t="n">
        <v>598</v>
      </c>
      <c r="AE96" s="2" t="n">
        <v>1</v>
      </c>
      <c r="AF96" s="2"/>
      <c r="AG96" s="2" t="s">
        <v>851</v>
      </c>
      <c r="AH96" s="2" t="s">
        <v>852</v>
      </c>
      <c r="AI96" s="2" t="n">
        <v>0</v>
      </c>
    </row>
    <row r="97" customFormat="false" ht="15" hidden="false" customHeight="false" outlineLevel="0" collapsed="false">
      <c r="A97" s="2" t="n">
        <v>91360</v>
      </c>
      <c r="B97" s="2" t="s">
        <v>853</v>
      </c>
      <c r="C97" s="2"/>
      <c r="D97" s="2" t="s">
        <v>735</v>
      </c>
      <c r="E97" s="2" t="s">
        <v>37</v>
      </c>
      <c r="F97" s="2" t="s">
        <v>38</v>
      </c>
      <c r="G97" s="2" t="s">
        <v>39</v>
      </c>
      <c r="H97" s="2" t="s">
        <v>40</v>
      </c>
      <c r="I97" s="2" t="s">
        <v>40</v>
      </c>
      <c r="J97" s="2" t="s">
        <v>854</v>
      </c>
      <c r="K97" s="2" t="s">
        <v>78</v>
      </c>
      <c r="L97" s="2" t="s">
        <v>43</v>
      </c>
      <c r="M97" s="2" t="s">
        <v>44</v>
      </c>
      <c r="N97" s="2"/>
      <c r="O97" s="2" t="n">
        <v>7.9162679</v>
      </c>
      <c r="P97" s="2" t="n">
        <v>98.3718041</v>
      </c>
      <c r="Q97" s="2" t="s">
        <v>855</v>
      </c>
      <c r="R97" s="2"/>
      <c r="S97" s="2"/>
      <c r="T97" s="2"/>
      <c r="U97" s="2" t="s">
        <v>856</v>
      </c>
      <c r="V97" s="2"/>
      <c r="W97" s="2" t="s">
        <v>857</v>
      </c>
      <c r="X97" s="2"/>
      <c r="Y97" s="2" t="s">
        <v>48</v>
      </c>
      <c r="Z97" s="3" t="s">
        <v>858</v>
      </c>
      <c r="AA97" s="2" t="s">
        <v>40</v>
      </c>
      <c r="AB97" s="2" t="s">
        <v>50</v>
      </c>
      <c r="AC97" s="2" t="n">
        <v>0</v>
      </c>
      <c r="AD97" s="2" t="n">
        <v>627</v>
      </c>
      <c r="AE97" s="2" t="n">
        <v>1</v>
      </c>
      <c r="AF97" s="2"/>
      <c r="AG97" s="2" t="s">
        <v>859</v>
      </c>
      <c r="AH97" s="2" t="s">
        <v>860</v>
      </c>
      <c r="AI97" s="2" t="n">
        <v>0</v>
      </c>
    </row>
    <row r="98" customFormat="false" ht="15" hidden="false" customHeight="false" outlineLevel="0" collapsed="false">
      <c r="A98" s="2" t="n">
        <v>90814</v>
      </c>
      <c r="B98" s="2" t="s">
        <v>861</v>
      </c>
      <c r="C98" s="2"/>
      <c r="D98" s="2" t="s">
        <v>862</v>
      </c>
      <c r="E98" s="2" t="s">
        <v>37</v>
      </c>
      <c r="F98" s="2" t="s">
        <v>106</v>
      </c>
      <c r="G98" s="2" t="s">
        <v>39</v>
      </c>
      <c r="H98" s="2" t="s">
        <v>40</v>
      </c>
      <c r="I98" s="2" t="s">
        <v>40</v>
      </c>
      <c r="J98" s="2" t="s">
        <v>97</v>
      </c>
      <c r="K98" s="2" t="s">
        <v>78</v>
      </c>
      <c r="L98" s="2" t="s">
        <v>43</v>
      </c>
      <c r="M98" s="2" t="s">
        <v>44</v>
      </c>
      <c r="N98" s="2"/>
      <c r="O98" s="2" t="n">
        <v>7.8823305</v>
      </c>
      <c r="P98" s="2" t="n">
        <v>98.3912472</v>
      </c>
      <c r="Q98" s="2" t="s">
        <v>863</v>
      </c>
      <c r="R98" s="2"/>
      <c r="S98" s="2"/>
      <c r="T98" s="2"/>
      <c r="U98" s="2" t="s">
        <v>864</v>
      </c>
      <c r="V98" s="2"/>
      <c r="W98" s="2" t="s">
        <v>865</v>
      </c>
      <c r="X98" s="2"/>
      <c r="Y98" s="2" t="s">
        <v>48</v>
      </c>
      <c r="Z98" s="3" t="s">
        <v>866</v>
      </c>
      <c r="AA98" s="2" t="s">
        <v>40</v>
      </c>
      <c r="AB98" s="2" t="s">
        <v>50</v>
      </c>
      <c r="AC98" s="2" t="n">
        <v>0</v>
      </c>
      <c r="AD98" s="2" t="n">
        <v>937</v>
      </c>
      <c r="AE98" s="2" t="n">
        <v>0</v>
      </c>
      <c r="AF98" s="2"/>
      <c r="AG98" s="2" t="s">
        <v>867</v>
      </c>
      <c r="AH98" s="2" t="s">
        <v>868</v>
      </c>
      <c r="AI98" s="2" t="n">
        <v>0</v>
      </c>
    </row>
    <row r="99" customFormat="false" ht="15" hidden="false" customHeight="false" outlineLevel="0" collapsed="false">
      <c r="A99" s="2" t="n">
        <v>92107</v>
      </c>
      <c r="B99" s="2" t="s">
        <v>869</v>
      </c>
      <c r="C99" s="2"/>
      <c r="D99" s="2" t="s">
        <v>870</v>
      </c>
      <c r="E99" s="2" t="s">
        <v>37</v>
      </c>
      <c r="F99" s="2" t="s">
        <v>129</v>
      </c>
      <c r="G99" s="2" t="s">
        <v>39</v>
      </c>
      <c r="H99" s="2" t="s">
        <v>40</v>
      </c>
      <c r="I99" s="2" t="s">
        <v>40</v>
      </c>
      <c r="J99" s="2" t="s">
        <v>871</v>
      </c>
      <c r="K99" s="2" t="s">
        <v>108</v>
      </c>
      <c r="L99" s="2" t="s">
        <v>109</v>
      </c>
      <c r="M99" s="2" t="s">
        <v>44</v>
      </c>
      <c r="N99" s="2"/>
      <c r="O99" s="2" t="n">
        <v>7.894926</v>
      </c>
      <c r="P99" s="2" t="n">
        <v>98.2952</v>
      </c>
      <c r="Q99" s="2" t="s">
        <v>872</v>
      </c>
      <c r="R99" s="2"/>
      <c r="S99" s="2"/>
      <c r="T99" s="2"/>
      <c r="U99" s="2" t="s">
        <v>873</v>
      </c>
      <c r="V99" s="2"/>
      <c r="W99" s="2" t="s">
        <v>452</v>
      </c>
      <c r="X99" s="2"/>
      <c r="Y99" s="2" t="s">
        <v>48</v>
      </c>
      <c r="Z99" s="3" t="s">
        <v>874</v>
      </c>
      <c r="AA99" s="2" t="s">
        <v>40</v>
      </c>
      <c r="AB99" s="2" t="s">
        <v>50</v>
      </c>
      <c r="AC99" s="2" t="n">
        <v>0</v>
      </c>
      <c r="AD99" s="2" t="n">
        <v>970</v>
      </c>
      <c r="AE99" s="2" t="n">
        <v>1</v>
      </c>
      <c r="AF99" s="2"/>
      <c r="AG99" s="2" t="s">
        <v>875</v>
      </c>
      <c r="AH99" s="2" t="s">
        <v>876</v>
      </c>
      <c r="AI99" s="2" t="n">
        <v>0</v>
      </c>
    </row>
    <row r="100" customFormat="false" ht="15" hidden="false" customHeight="false" outlineLevel="0" collapsed="false">
      <c r="A100" s="2" t="n">
        <v>90866</v>
      </c>
      <c r="B100" s="2" t="s">
        <v>877</v>
      </c>
      <c r="C100" s="2"/>
      <c r="D100" s="2" t="s">
        <v>878</v>
      </c>
      <c r="E100" s="2" t="s">
        <v>105</v>
      </c>
      <c r="F100" s="2" t="s">
        <v>106</v>
      </c>
      <c r="G100" s="2" t="s">
        <v>39</v>
      </c>
      <c r="H100" s="2" t="s">
        <v>40</v>
      </c>
      <c r="I100" s="2" t="s">
        <v>40</v>
      </c>
      <c r="J100" s="2" t="s">
        <v>879</v>
      </c>
      <c r="K100" s="2" t="s">
        <v>42</v>
      </c>
      <c r="L100" s="2" t="s">
        <v>43</v>
      </c>
      <c r="M100" s="2" t="s">
        <v>44</v>
      </c>
      <c r="N100" s="2"/>
      <c r="O100" s="2" t="n">
        <v>7.888059</v>
      </c>
      <c r="P100" s="2" t="n">
        <v>98.387103</v>
      </c>
      <c r="Q100" s="2" t="s">
        <v>880</v>
      </c>
      <c r="R100" s="2"/>
      <c r="S100" s="2"/>
      <c r="T100" s="2"/>
      <c r="U100" s="2" t="s">
        <v>881</v>
      </c>
      <c r="V100" s="2"/>
      <c r="W100" s="2" t="s">
        <v>882</v>
      </c>
      <c r="X100" s="2"/>
      <c r="Y100" s="2" t="s">
        <v>48</v>
      </c>
      <c r="Z100" s="3" t="s">
        <v>883</v>
      </c>
      <c r="AA100" s="2" t="s">
        <v>40</v>
      </c>
      <c r="AB100" s="2" t="s">
        <v>50</v>
      </c>
      <c r="AC100" s="2" t="n">
        <v>0</v>
      </c>
      <c r="AD100" s="2" t="n">
        <v>861</v>
      </c>
      <c r="AE100" s="2" t="n">
        <v>0</v>
      </c>
      <c r="AF100" s="2"/>
      <c r="AG100" s="2" t="s">
        <v>884</v>
      </c>
      <c r="AH100" s="2" t="s">
        <v>885</v>
      </c>
      <c r="AI100" s="2" t="n">
        <v>0</v>
      </c>
    </row>
    <row r="101" customFormat="false" ht="15" hidden="false" customHeight="false" outlineLevel="0" collapsed="false">
      <c r="A101" s="2" t="n">
        <v>92168</v>
      </c>
      <c r="B101" s="2" t="s">
        <v>886</v>
      </c>
      <c r="C101" s="2"/>
      <c r="D101" s="2" t="s">
        <v>887</v>
      </c>
      <c r="E101" s="2" t="s">
        <v>105</v>
      </c>
      <c r="F101" s="2" t="s">
        <v>106</v>
      </c>
      <c r="G101" s="2" t="s">
        <v>39</v>
      </c>
      <c r="H101" s="2" t="s">
        <v>40</v>
      </c>
      <c r="I101" s="2" t="s">
        <v>40</v>
      </c>
      <c r="J101" s="2" t="s">
        <v>555</v>
      </c>
      <c r="K101" s="2" t="s">
        <v>474</v>
      </c>
      <c r="L101" s="2" t="s">
        <v>43</v>
      </c>
      <c r="M101" s="2" t="s">
        <v>44</v>
      </c>
      <c r="N101" s="2"/>
      <c r="O101" s="2" t="n">
        <v>7.831496</v>
      </c>
      <c r="P101" s="2" t="n">
        <v>98.344712</v>
      </c>
      <c r="Q101" s="2"/>
      <c r="R101" s="2" t="s">
        <v>888</v>
      </c>
      <c r="S101" s="2"/>
      <c r="T101" s="2"/>
      <c r="U101" s="2" t="s">
        <v>889</v>
      </c>
      <c r="V101" s="2"/>
      <c r="W101" s="2" t="s">
        <v>452</v>
      </c>
      <c r="X101" s="2"/>
      <c r="Y101" s="2" t="s">
        <v>48</v>
      </c>
      <c r="Z101" s="3" t="s">
        <v>890</v>
      </c>
      <c r="AA101" s="2" t="s">
        <v>40</v>
      </c>
      <c r="AB101" s="2" t="s">
        <v>50</v>
      </c>
      <c r="AC101" s="2" t="n">
        <v>0</v>
      </c>
      <c r="AD101" s="2" t="n">
        <v>890</v>
      </c>
      <c r="AE101" s="2" t="n">
        <v>1</v>
      </c>
      <c r="AF101" s="2"/>
      <c r="AG101" s="2" t="s">
        <v>891</v>
      </c>
      <c r="AH101" s="2" t="s">
        <v>892</v>
      </c>
      <c r="AI101" s="2" t="n">
        <v>0</v>
      </c>
    </row>
    <row r="102" customFormat="false" ht="15" hidden="false" customHeight="false" outlineLevel="0" collapsed="false">
      <c r="A102" s="2" t="n">
        <v>91348</v>
      </c>
      <c r="B102" s="2" t="s">
        <v>893</v>
      </c>
      <c r="C102" s="2"/>
      <c r="D102" s="2" t="s">
        <v>894</v>
      </c>
      <c r="E102" s="2" t="s">
        <v>105</v>
      </c>
      <c r="F102" s="2" t="s">
        <v>129</v>
      </c>
      <c r="G102" s="2" t="s">
        <v>39</v>
      </c>
      <c r="H102" s="2" t="s">
        <v>40</v>
      </c>
      <c r="I102" s="2" t="s">
        <v>40</v>
      </c>
      <c r="J102" s="2" t="s">
        <v>895</v>
      </c>
      <c r="K102" s="2" t="s">
        <v>108</v>
      </c>
      <c r="L102" s="2" t="s">
        <v>109</v>
      </c>
      <c r="M102" s="2" t="s">
        <v>44</v>
      </c>
      <c r="N102" s="2"/>
      <c r="O102" s="2" t="n">
        <v>7.88712</v>
      </c>
      <c r="P102" s="2" t="n">
        <v>98.28568</v>
      </c>
      <c r="Q102" s="2" t="s">
        <v>896</v>
      </c>
      <c r="R102" s="2"/>
      <c r="S102" s="2"/>
      <c r="T102" s="2"/>
      <c r="U102" s="2" t="s">
        <v>897</v>
      </c>
      <c r="V102" s="2"/>
      <c r="W102" s="2" t="s">
        <v>834</v>
      </c>
      <c r="X102" s="2"/>
      <c r="Y102" s="2" t="s">
        <v>48</v>
      </c>
      <c r="Z102" s="3" t="s">
        <v>898</v>
      </c>
      <c r="AA102" s="2" t="s">
        <v>40</v>
      </c>
      <c r="AB102" s="2" t="s">
        <v>50</v>
      </c>
      <c r="AC102" s="2" t="n">
        <v>0</v>
      </c>
      <c r="AD102" s="2" t="n">
        <v>687</v>
      </c>
      <c r="AE102" s="2" t="n">
        <v>1</v>
      </c>
      <c r="AF102" s="2"/>
      <c r="AG102" s="2" t="s">
        <v>899</v>
      </c>
      <c r="AH102" s="2" t="s">
        <v>900</v>
      </c>
      <c r="AI102" s="2" t="n">
        <v>0</v>
      </c>
    </row>
    <row r="103" customFormat="false" ht="15" hidden="false" customHeight="false" outlineLevel="0" collapsed="false">
      <c r="A103" s="2" t="n">
        <v>91754</v>
      </c>
      <c r="B103" s="2" t="s">
        <v>901</v>
      </c>
      <c r="C103" s="2"/>
      <c r="D103" s="2" t="s">
        <v>589</v>
      </c>
      <c r="E103" s="2" t="s">
        <v>55</v>
      </c>
      <c r="F103" s="2" t="s">
        <v>106</v>
      </c>
      <c r="G103" s="2" t="s">
        <v>39</v>
      </c>
      <c r="H103" s="2" t="s">
        <v>40</v>
      </c>
      <c r="I103" s="2" t="s">
        <v>40</v>
      </c>
      <c r="J103" s="2" t="s">
        <v>902</v>
      </c>
      <c r="K103" s="2" t="s">
        <v>68</v>
      </c>
      <c r="L103" s="2" t="s">
        <v>43</v>
      </c>
      <c r="M103" s="2" t="s">
        <v>44</v>
      </c>
      <c r="N103" s="2"/>
      <c r="O103" s="2" t="n">
        <v>7.886125</v>
      </c>
      <c r="P103" s="2" t="n">
        <v>98.392237</v>
      </c>
      <c r="Q103" s="2" t="s">
        <v>903</v>
      </c>
      <c r="R103" s="2"/>
      <c r="S103" s="2"/>
      <c r="T103" s="2"/>
      <c r="U103" s="2" t="s">
        <v>904</v>
      </c>
      <c r="V103" s="2"/>
      <c r="W103" s="2" t="s">
        <v>834</v>
      </c>
      <c r="X103" s="2"/>
      <c r="Y103" s="2" t="s">
        <v>48</v>
      </c>
      <c r="Z103" s="3" t="s">
        <v>905</v>
      </c>
      <c r="AA103" s="2" t="s">
        <v>40</v>
      </c>
      <c r="AB103" s="2" t="s">
        <v>50</v>
      </c>
      <c r="AC103" s="2" t="n">
        <v>0</v>
      </c>
      <c r="AD103" s="2" t="n">
        <v>642</v>
      </c>
      <c r="AE103" s="2" t="n">
        <v>1</v>
      </c>
      <c r="AF103" s="2"/>
      <c r="AG103" s="2" t="s">
        <v>906</v>
      </c>
      <c r="AH103" s="2" t="s">
        <v>907</v>
      </c>
      <c r="AI103" s="2" t="n">
        <v>0</v>
      </c>
    </row>
    <row r="104" customFormat="false" ht="15" hidden="false" customHeight="false" outlineLevel="0" collapsed="false">
      <c r="A104" s="2" t="n">
        <v>91291</v>
      </c>
      <c r="B104" s="2" t="s">
        <v>908</v>
      </c>
      <c r="C104" s="2"/>
      <c r="D104" s="2" t="s">
        <v>481</v>
      </c>
      <c r="E104" s="2" t="s">
        <v>37</v>
      </c>
      <c r="F104" s="2" t="s">
        <v>38</v>
      </c>
      <c r="G104" s="2" t="s">
        <v>39</v>
      </c>
      <c r="H104" s="2" t="s">
        <v>40</v>
      </c>
      <c r="I104" s="2" t="s">
        <v>40</v>
      </c>
      <c r="J104" s="2" t="s">
        <v>564</v>
      </c>
      <c r="K104" s="2" t="s">
        <v>109</v>
      </c>
      <c r="L104" s="2" t="s">
        <v>109</v>
      </c>
      <c r="M104" s="2" t="s">
        <v>44</v>
      </c>
      <c r="N104" s="2"/>
      <c r="O104" s="2" t="n">
        <v>7.9090593</v>
      </c>
      <c r="P104" s="2" t="n">
        <v>98.3478946</v>
      </c>
      <c r="Q104" s="2"/>
      <c r="R104" s="2" t="s">
        <v>909</v>
      </c>
      <c r="S104" s="2"/>
      <c r="T104" s="2"/>
      <c r="U104" s="2" t="s">
        <v>910</v>
      </c>
      <c r="V104" s="2"/>
      <c r="W104" s="2" t="s">
        <v>911</v>
      </c>
      <c r="X104" s="2"/>
      <c r="Y104" s="2" t="s">
        <v>48</v>
      </c>
      <c r="Z104" s="3" t="s">
        <v>912</v>
      </c>
      <c r="AA104" s="2" t="s">
        <v>40</v>
      </c>
      <c r="AB104" s="2" t="s">
        <v>50</v>
      </c>
      <c r="AC104" s="2" t="n">
        <v>0</v>
      </c>
      <c r="AD104" s="2" t="n">
        <v>665</v>
      </c>
      <c r="AE104" s="2" t="n">
        <v>0</v>
      </c>
      <c r="AF104" s="2"/>
      <c r="AG104" s="2" t="s">
        <v>913</v>
      </c>
      <c r="AH104" s="2" t="s">
        <v>914</v>
      </c>
      <c r="AI104" s="2" t="n">
        <v>0</v>
      </c>
    </row>
    <row r="105" customFormat="false" ht="15" hidden="false" customHeight="false" outlineLevel="0" collapsed="false">
      <c r="A105" s="2" t="n">
        <v>91799</v>
      </c>
      <c r="B105" s="2" t="s">
        <v>915</v>
      </c>
      <c r="C105" s="2"/>
      <c r="D105" s="2" t="s">
        <v>916</v>
      </c>
      <c r="E105" s="2" t="s">
        <v>55</v>
      </c>
      <c r="F105" s="2" t="s">
        <v>38</v>
      </c>
      <c r="G105" s="2" t="s">
        <v>39</v>
      </c>
      <c r="H105" s="2" t="s">
        <v>40</v>
      </c>
      <c r="I105" s="2" t="s">
        <v>40</v>
      </c>
      <c r="J105" s="2" t="s">
        <v>917</v>
      </c>
      <c r="K105" s="2" t="s">
        <v>57</v>
      </c>
      <c r="L105" s="2" t="s">
        <v>58</v>
      </c>
      <c r="M105" s="2" t="s">
        <v>44</v>
      </c>
      <c r="N105" s="2"/>
      <c r="O105" s="2" t="n">
        <v>7.993299</v>
      </c>
      <c r="P105" s="2" t="n">
        <v>98.30424</v>
      </c>
      <c r="Q105" s="2" t="s">
        <v>918</v>
      </c>
      <c r="R105" s="2"/>
      <c r="S105" s="2"/>
      <c r="T105" s="2"/>
      <c r="U105" s="2" t="s">
        <v>919</v>
      </c>
      <c r="V105" s="2"/>
      <c r="W105" s="2" t="s">
        <v>920</v>
      </c>
      <c r="X105" s="2"/>
      <c r="Y105" s="2" t="s">
        <v>48</v>
      </c>
      <c r="Z105" s="3" t="s">
        <v>921</v>
      </c>
      <c r="AA105" s="2" t="s">
        <v>40</v>
      </c>
      <c r="AB105" s="2" t="s">
        <v>50</v>
      </c>
      <c r="AC105" s="2" t="n">
        <v>0</v>
      </c>
      <c r="AD105" s="2" t="n">
        <v>1322</v>
      </c>
      <c r="AE105" s="2" t="n">
        <v>1</v>
      </c>
      <c r="AF105" s="2"/>
      <c r="AG105" s="2" t="s">
        <v>922</v>
      </c>
      <c r="AH105" s="2" t="s">
        <v>923</v>
      </c>
      <c r="AI105" s="2" t="n">
        <v>0</v>
      </c>
    </row>
    <row r="106" customFormat="false" ht="15" hidden="false" customHeight="false" outlineLevel="0" collapsed="false">
      <c r="A106" s="2" t="n">
        <v>91965</v>
      </c>
      <c r="B106" s="2" t="s">
        <v>924</v>
      </c>
      <c r="C106" s="2"/>
      <c r="D106" s="2" t="s">
        <v>157</v>
      </c>
      <c r="E106" s="2" t="s">
        <v>37</v>
      </c>
      <c r="F106" s="2" t="s">
        <v>129</v>
      </c>
      <c r="G106" s="2" t="s">
        <v>39</v>
      </c>
      <c r="H106" s="2" t="s">
        <v>40</v>
      </c>
      <c r="I106" s="2" t="s">
        <v>40</v>
      </c>
      <c r="J106" s="2" t="s">
        <v>925</v>
      </c>
      <c r="K106" s="2" t="s">
        <v>108</v>
      </c>
      <c r="L106" s="2" t="s">
        <v>109</v>
      </c>
      <c r="M106" s="2" t="s">
        <v>44</v>
      </c>
      <c r="N106" s="2"/>
      <c r="O106" s="2" t="n">
        <v>7.887924</v>
      </c>
      <c r="P106" s="2" t="n">
        <v>98.292104</v>
      </c>
      <c r="Q106" s="2"/>
      <c r="R106" s="2" t="s">
        <v>926</v>
      </c>
      <c r="S106" s="2"/>
      <c r="T106" s="2"/>
      <c r="U106" s="2" t="s">
        <v>927</v>
      </c>
      <c r="V106" s="2"/>
      <c r="W106" s="2" t="s">
        <v>928</v>
      </c>
      <c r="X106" s="2"/>
      <c r="Y106" s="2" t="s">
        <v>48</v>
      </c>
      <c r="Z106" s="3" t="s">
        <v>929</v>
      </c>
      <c r="AA106" s="2" t="s">
        <v>40</v>
      </c>
      <c r="AB106" s="2" t="s">
        <v>50</v>
      </c>
      <c r="AC106" s="2" t="n">
        <v>0</v>
      </c>
      <c r="AD106" s="2" t="n">
        <v>584</v>
      </c>
      <c r="AE106" s="2" t="n">
        <v>1</v>
      </c>
      <c r="AF106" s="2"/>
      <c r="AG106" s="2" t="s">
        <v>930</v>
      </c>
      <c r="AH106" s="2" t="s">
        <v>931</v>
      </c>
      <c r="AI106" s="2" t="n">
        <v>0</v>
      </c>
    </row>
    <row r="107" customFormat="false" ht="15" hidden="false" customHeight="false" outlineLevel="0" collapsed="false">
      <c r="A107" s="2" t="n">
        <v>91770</v>
      </c>
      <c r="B107" s="2" t="s">
        <v>932</v>
      </c>
      <c r="C107" s="2"/>
      <c r="D107" s="2" t="s">
        <v>933</v>
      </c>
      <c r="E107" s="2" t="s">
        <v>117</v>
      </c>
      <c r="F107" s="2" t="s">
        <v>38</v>
      </c>
      <c r="G107" s="2" t="s">
        <v>39</v>
      </c>
      <c r="H107" s="2" t="s">
        <v>40</v>
      </c>
      <c r="I107" s="2" t="s">
        <v>40</v>
      </c>
      <c r="J107" s="2" t="s">
        <v>564</v>
      </c>
      <c r="K107" s="2" t="s">
        <v>109</v>
      </c>
      <c r="L107" s="2" t="s">
        <v>109</v>
      </c>
      <c r="M107" s="2" t="s">
        <v>44</v>
      </c>
      <c r="N107" s="2"/>
      <c r="O107" s="2" t="n">
        <v>7.9083243</v>
      </c>
      <c r="P107" s="2" t="n">
        <v>98.3487874</v>
      </c>
      <c r="Q107" s="2"/>
      <c r="R107" s="2" t="s">
        <v>934</v>
      </c>
      <c r="S107" s="2"/>
      <c r="T107" s="2"/>
      <c r="U107" s="2" t="s">
        <v>935</v>
      </c>
      <c r="V107" s="2"/>
      <c r="W107" s="2" t="s">
        <v>936</v>
      </c>
      <c r="X107" s="2"/>
      <c r="Y107" s="2" t="s">
        <v>48</v>
      </c>
      <c r="Z107" s="3" t="s">
        <v>937</v>
      </c>
      <c r="AA107" s="2" t="s">
        <v>40</v>
      </c>
      <c r="AB107" s="2" t="s">
        <v>50</v>
      </c>
      <c r="AC107" s="2" t="n">
        <v>0</v>
      </c>
      <c r="AD107" s="2" t="n">
        <v>736</v>
      </c>
      <c r="AE107" s="2" t="n">
        <v>0</v>
      </c>
      <c r="AF107" s="2"/>
      <c r="AG107" s="2" t="s">
        <v>938</v>
      </c>
      <c r="AH107" s="2" t="s">
        <v>939</v>
      </c>
      <c r="AI107" s="2" t="n">
        <v>0</v>
      </c>
    </row>
    <row r="108" customFormat="false" ht="15" hidden="false" customHeight="false" outlineLevel="0" collapsed="false">
      <c r="A108" s="2" t="n">
        <v>90810</v>
      </c>
      <c r="B108" s="2" t="s">
        <v>940</v>
      </c>
      <c r="C108" s="2"/>
      <c r="D108" s="2" t="s">
        <v>116</v>
      </c>
      <c r="E108" s="2" t="s">
        <v>117</v>
      </c>
      <c r="F108" s="2" t="s">
        <v>38</v>
      </c>
      <c r="G108" s="2" t="s">
        <v>39</v>
      </c>
      <c r="H108" s="2" t="s">
        <v>40</v>
      </c>
      <c r="I108" s="2" t="s">
        <v>40</v>
      </c>
      <c r="J108" s="2" t="s">
        <v>941</v>
      </c>
      <c r="K108" s="2" t="s">
        <v>68</v>
      </c>
      <c r="L108" s="2" t="s">
        <v>43</v>
      </c>
      <c r="M108" s="2" t="s">
        <v>44</v>
      </c>
      <c r="N108" s="2"/>
      <c r="O108" s="2" t="n">
        <v>7.884845</v>
      </c>
      <c r="P108" s="2" t="n">
        <v>98.388729</v>
      </c>
      <c r="Q108" s="2" t="s">
        <v>942</v>
      </c>
      <c r="R108" s="2"/>
      <c r="S108" s="2"/>
      <c r="T108" s="2"/>
      <c r="U108" s="2" t="s">
        <v>943</v>
      </c>
      <c r="V108" s="2"/>
      <c r="W108" s="2" t="s">
        <v>944</v>
      </c>
      <c r="X108" s="2"/>
      <c r="Y108" s="2" t="s">
        <v>48</v>
      </c>
      <c r="Z108" s="3" t="s">
        <v>945</v>
      </c>
      <c r="AA108" s="2" t="s">
        <v>40</v>
      </c>
      <c r="AB108" s="2" t="s">
        <v>50</v>
      </c>
      <c r="AC108" s="2" t="n">
        <v>0</v>
      </c>
      <c r="AD108" s="2" t="n">
        <v>708</v>
      </c>
      <c r="AE108" s="2" t="n">
        <v>0</v>
      </c>
      <c r="AF108" s="2"/>
      <c r="AG108" s="2" t="s">
        <v>946</v>
      </c>
      <c r="AH108" s="2" t="s">
        <v>947</v>
      </c>
      <c r="AI108" s="2" t="n">
        <v>0</v>
      </c>
    </row>
    <row r="109" customFormat="false" ht="15" hidden="false" customHeight="false" outlineLevel="0" collapsed="false">
      <c r="A109" s="2" t="n">
        <v>91424</v>
      </c>
      <c r="B109" s="2" t="s">
        <v>948</v>
      </c>
      <c r="C109" s="2"/>
      <c r="D109" s="2" t="s">
        <v>949</v>
      </c>
      <c r="E109" s="2" t="s">
        <v>117</v>
      </c>
      <c r="F109" s="2" t="s">
        <v>129</v>
      </c>
      <c r="G109" s="2" t="s">
        <v>39</v>
      </c>
      <c r="H109" s="2" t="s">
        <v>40</v>
      </c>
      <c r="I109" s="2" t="s">
        <v>40</v>
      </c>
      <c r="J109" s="2" t="s">
        <v>871</v>
      </c>
      <c r="K109" s="2" t="s">
        <v>108</v>
      </c>
      <c r="L109" s="2" t="s">
        <v>109</v>
      </c>
      <c r="M109" s="2" t="s">
        <v>44</v>
      </c>
      <c r="N109" s="2"/>
      <c r="O109" s="2" t="n">
        <v>7.9173009</v>
      </c>
      <c r="P109" s="2" t="n">
        <v>98.2845</v>
      </c>
      <c r="Q109" s="2" t="s">
        <v>950</v>
      </c>
      <c r="R109" s="2"/>
      <c r="S109" s="2"/>
      <c r="T109" s="2"/>
      <c r="U109" s="2" t="s">
        <v>951</v>
      </c>
      <c r="V109" s="2"/>
      <c r="W109" s="2" t="s">
        <v>952</v>
      </c>
      <c r="X109" s="2"/>
      <c r="Y109" s="2" t="s">
        <v>48</v>
      </c>
      <c r="Z109" s="3" t="s">
        <v>953</v>
      </c>
      <c r="AA109" s="2" t="s">
        <v>40</v>
      </c>
      <c r="AB109" s="2" t="s">
        <v>50</v>
      </c>
      <c r="AC109" s="2" t="n">
        <v>0</v>
      </c>
      <c r="AD109" s="2" t="n">
        <v>527</v>
      </c>
      <c r="AE109" s="2" t="n">
        <v>0</v>
      </c>
      <c r="AF109" s="2"/>
      <c r="AG109" s="2" t="s">
        <v>954</v>
      </c>
      <c r="AH109" s="2" t="s">
        <v>955</v>
      </c>
      <c r="AI109" s="2" t="n">
        <v>0</v>
      </c>
    </row>
    <row r="110" customFormat="false" ht="15" hidden="false" customHeight="false" outlineLevel="0" collapsed="false">
      <c r="A110" s="2" t="n">
        <v>92167</v>
      </c>
      <c r="B110" s="2" t="s">
        <v>956</v>
      </c>
      <c r="C110" s="2"/>
      <c r="D110" s="2" t="s">
        <v>246</v>
      </c>
      <c r="E110" s="2" t="s">
        <v>37</v>
      </c>
      <c r="F110" s="2" t="s">
        <v>38</v>
      </c>
      <c r="G110" s="2" t="s">
        <v>39</v>
      </c>
      <c r="H110" s="2" t="s">
        <v>40</v>
      </c>
      <c r="I110" s="2" t="s">
        <v>40</v>
      </c>
      <c r="J110" s="2" t="s">
        <v>902</v>
      </c>
      <c r="K110" s="2" t="s">
        <v>68</v>
      </c>
      <c r="L110" s="2" t="s">
        <v>43</v>
      </c>
      <c r="M110" s="2" t="s">
        <v>44</v>
      </c>
      <c r="N110" s="2"/>
      <c r="O110" s="2" t="n">
        <v>7.886125</v>
      </c>
      <c r="P110" s="2" t="n">
        <v>98.392477</v>
      </c>
      <c r="Q110" s="2"/>
      <c r="R110" s="2" t="s">
        <v>957</v>
      </c>
      <c r="S110" s="2"/>
      <c r="T110" s="2"/>
      <c r="U110" s="2" t="s">
        <v>958</v>
      </c>
      <c r="V110" s="2"/>
      <c r="W110" s="2" t="s">
        <v>292</v>
      </c>
      <c r="X110" s="2"/>
      <c r="Y110" s="2" t="s">
        <v>48</v>
      </c>
      <c r="Z110" s="3" t="s">
        <v>959</v>
      </c>
      <c r="AA110" s="2" t="s">
        <v>40</v>
      </c>
      <c r="AB110" s="2" t="s">
        <v>50</v>
      </c>
      <c r="AC110" s="2" t="n">
        <v>0</v>
      </c>
      <c r="AD110" s="2" t="n">
        <v>845</v>
      </c>
      <c r="AE110" s="2" t="n">
        <v>0</v>
      </c>
      <c r="AF110" s="2"/>
      <c r="AG110" s="2" t="s">
        <v>960</v>
      </c>
      <c r="AH110" s="2" t="s">
        <v>961</v>
      </c>
      <c r="AI110" s="2" t="n">
        <v>0</v>
      </c>
    </row>
    <row r="111" customFormat="false" ht="15" hidden="false" customHeight="false" outlineLevel="0" collapsed="false">
      <c r="A111" s="2" t="n">
        <v>91273</v>
      </c>
      <c r="B111" s="2" t="s">
        <v>962</v>
      </c>
      <c r="C111" s="2"/>
      <c r="D111" s="2" t="s">
        <v>116</v>
      </c>
      <c r="E111" s="2" t="s">
        <v>37</v>
      </c>
      <c r="F111" s="2" t="s">
        <v>38</v>
      </c>
      <c r="G111" s="2" t="s">
        <v>39</v>
      </c>
      <c r="H111" s="2" t="s">
        <v>40</v>
      </c>
      <c r="I111" s="2" t="s">
        <v>40</v>
      </c>
      <c r="J111" s="2" t="s">
        <v>963</v>
      </c>
      <c r="K111" s="2" t="s">
        <v>88</v>
      </c>
      <c r="L111" s="2" t="s">
        <v>43</v>
      </c>
      <c r="M111" s="2" t="s">
        <v>44</v>
      </c>
      <c r="N111" s="2"/>
      <c r="O111" s="2" t="n">
        <v>7.76231</v>
      </c>
      <c r="P111" s="2" t="n">
        <v>98.315112</v>
      </c>
      <c r="Q111" s="2"/>
      <c r="R111" s="2" t="s">
        <v>964</v>
      </c>
      <c r="S111" s="2"/>
      <c r="T111" s="2"/>
      <c r="U111" s="2" t="s">
        <v>965</v>
      </c>
      <c r="V111" s="2"/>
      <c r="W111" s="2" t="s">
        <v>966</v>
      </c>
      <c r="X111" s="2"/>
      <c r="Y111" s="2" t="s">
        <v>48</v>
      </c>
      <c r="Z111" s="3" t="s">
        <v>967</v>
      </c>
      <c r="AA111" s="2" t="s">
        <v>40</v>
      </c>
      <c r="AB111" s="2" t="s">
        <v>50</v>
      </c>
      <c r="AC111" s="2" t="n">
        <v>0</v>
      </c>
      <c r="AD111" s="2" t="n">
        <v>824</v>
      </c>
      <c r="AE111" s="2" t="n">
        <v>1</v>
      </c>
      <c r="AF111" s="2"/>
      <c r="AG111" s="2" t="s">
        <v>968</v>
      </c>
      <c r="AH111" s="2" t="s">
        <v>969</v>
      </c>
      <c r="AI111" s="2" t="n">
        <v>0</v>
      </c>
    </row>
    <row r="112" customFormat="false" ht="15" hidden="false" customHeight="false" outlineLevel="0" collapsed="false">
      <c r="A112" s="2" t="n">
        <v>91971</v>
      </c>
      <c r="B112" s="2" t="s">
        <v>970</v>
      </c>
      <c r="C112" s="2"/>
      <c r="D112" s="2" t="s">
        <v>184</v>
      </c>
      <c r="E112" s="2" t="s">
        <v>117</v>
      </c>
      <c r="F112" s="2" t="s">
        <v>38</v>
      </c>
      <c r="G112" s="2" t="s">
        <v>39</v>
      </c>
      <c r="H112" s="2" t="s">
        <v>40</v>
      </c>
      <c r="I112" s="2" t="s">
        <v>40</v>
      </c>
      <c r="J112" s="2" t="s">
        <v>971</v>
      </c>
      <c r="K112" s="2" t="s">
        <v>68</v>
      </c>
      <c r="L112" s="2" t="s">
        <v>43</v>
      </c>
      <c r="M112" s="2" t="s">
        <v>44</v>
      </c>
      <c r="N112" s="2"/>
      <c r="O112" s="2" t="n">
        <v>7.8835257</v>
      </c>
      <c r="P112" s="2" t="n">
        <v>98.3929093</v>
      </c>
      <c r="Q112" s="2"/>
      <c r="R112" s="2" t="s">
        <v>972</v>
      </c>
      <c r="S112" s="2"/>
      <c r="T112" s="2"/>
      <c r="U112" s="2" t="s">
        <v>973</v>
      </c>
      <c r="V112" s="2"/>
      <c r="W112" s="2" t="s">
        <v>377</v>
      </c>
      <c r="X112" s="2"/>
      <c r="Y112" s="2" t="s">
        <v>48</v>
      </c>
      <c r="Z112" s="3" t="s">
        <v>974</v>
      </c>
      <c r="AA112" s="2" t="s">
        <v>40</v>
      </c>
      <c r="AB112" s="2" t="s">
        <v>50</v>
      </c>
      <c r="AC112" s="2" t="n">
        <v>0</v>
      </c>
      <c r="AD112" s="2" t="n">
        <v>558</v>
      </c>
      <c r="AE112" s="2" t="n">
        <v>0</v>
      </c>
      <c r="AF112" s="2"/>
      <c r="AG112" s="2" t="s">
        <v>975</v>
      </c>
      <c r="AH112" s="2" t="s">
        <v>976</v>
      </c>
      <c r="AI112" s="2" t="n">
        <v>0</v>
      </c>
    </row>
    <row r="113" customFormat="false" ht="15" hidden="false" customHeight="false" outlineLevel="0" collapsed="false">
      <c r="A113" s="2" t="n">
        <v>91479</v>
      </c>
      <c r="B113" s="2" t="s">
        <v>977</v>
      </c>
      <c r="C113" s="2"/>
      <c r="D113" s="2" t="s">
        <v>978</v>
      </c>
      <c r="E113" s="2" t="s">
        <v>55</v>
      </c>
      <c r="F113" s="2" t="s">
        <v>38</v>
      </c>
      <c r="G113" s="2" t="s">
        <v>39</v>
      </c>
      <c r="H113" s="2" t="s">
        <v>40</v>
      </c>
      <c r="I113" s="2" t="s">
        <v>40</v>
      </c>
      <c r="J113" s="2" t="s">
        <v>979</v>
      </c>
      <c r="K113" s="2" t="s">
        <v>131</v>
      </c>
      <c r="L113" s="2" t="s">
        <v>58</v>
      </c>
      <c r="M113" s="2" t="s">
        <v>44</v>
      </c>
      <c r="N113" s="2"/>
      <c r="O113" s="2" t="n">
        <v>8.094488</v>
      </c>
      <c r="P113" s="2" t="n">
        <v>98.305603</v>
      </c>
      <c r="Q113" s="2"/>
      <c r="R113" s="2" t="s">
        <v>980</v>
      </c>
      <c r="S113" s="2"/>
      <c r="T113" s="2"/>
      <c r="U113" s="2" t="s">
        <v>981</v>
      </c>
      <c r="V113" s="2"/>
      <c r="W113" s="2" t="s">
        <v>982</v>
      </c>
      <c r="X113" s="2"/>
      <c r="Y113" s="2" t="s">
        <v>48</v>
      </c>
      <c r="Z113" s="3" t="s">
        <v>983</v>
      </c>
      <c r="AA113" s="2" t="s">
        <v>40</v>
      </c>
      <c r="AB113" s="2" t="s">
        <v>50</v>
      </c>
      <c r="AC113" s="2" t="n">
        <v>0</v>
      </c>
      <c r="AD113" s="2" t="n">
        <v>843</v>
      </c>
      <c r="AE113" s="2" t="n">
        <v>0</v>
      </c>
      <c r="AF113" s="2"/>
      <c r="AG113" s="2" t="s">
        <v>984</v>
      </c>
      <c r="AH113" s="2" t="s">
        <v>985</v>
      </c>
      <c r="AI113" s="2" t="n">
        <v>0</v>
      </c>
    </row>
    <row r="114" customFormat="false" ht="15" hidden="false" customHeight="false" outlineLevel="0" collapsed="false">
      <c r="A114" s="2" t="n">
        <v>90891</v>
      </c>
      <c r="B114" s="2" t="s">
        <v>986</v>
      </c>
      <c r="C114" s="2"/>
      <c r="D114" s="2" t="s">
        <v>227</v>
      </c>
      <c r="E114" s="2" t="s">
        <v>37</v>
      </c>
      <c r="F114" s="2" t="s">
        <v>38</v>
      </c>
      <c r="G114" s="2" t="s">
        <v>39</v>
      </c>
      <c r="H114" s="2" t="s">
        <v>40</v>
      </c>
      <c r="I114" s="2" t="s">
        <v>40</v>
      </c>
      <c r="J114" s="2" t="s">
        <v>987</v>
      </c>
      <c r="K114" s="2" t="s">
        <v>42</v>
      </c>
      <c r="L114" s="2" t="s">
        <v>43</v>
      </c>
      <c r="M114" s="2" t="s">
        <v>44</v>
      </c>
      <c r="N114" s="2"/>
      <c r="O114" s="2" t="n">
        <v>7.88464</v>
      </c>
      <c r="P114" s="2" t="n">
        <v>98.37967</v>
      </c>
      <c r="Q114" s="2" t="s">
        <v>988</v>
      </c>
      <c r="R114" s="2"/>
      <c r="S114" s="2"/>
      <c r="T114" s="2"/>
      <c r="U114" s="2" t="s">
        <v>989</v>
      </c>
      <c r="V114" s="2"/>
      <c r="W114" s="2" t="s">
        <v>990</v>
      </c>
      <c r="X114" s="2"/>
      <c r="Y114" s="2" t="s">
        <v>48</v>
      </c>
      <c r="Z114" s="3" t="s">
        <v>991</v>
      </c>
      <c r="AA114" s="2" t="s">
        <v>40</v>
      </c>
      <c r="AB114" s="2" t="s">
        <v>50</v>
      </c>
      <c r="AC114" s="2" t="n">
        <v>0</v>
      </c>
      <c r="AD114" s="2" t="n">
        <v>743</v>
      </c>
      <c r="AE114" s="2" t="n">
        <v>1</v>
      </c>
      <c r="AF114" s="2"/>
      <c r="AG114" s="2" t="s">
        <v>992</v>
      </c>
      <c r="AH114" s="2" t="s">
        <v>993</v>
      </c>
      <c r="AI114" s="2" t="n">
        <v>0</v>
      </c>
    </row>
    <row r="115" customFormat="false" ht="15" hidden="false" customHeight="false" outlineLevel="0" collapsed="false">
      <c r="A115" s="2" t="n">
        <v>91413</v>
      </c>
      <c r="B115" s="2" t="s">
        <v>994</v>
      </c>
      <c r="C115" s="2"/>
      <c r="D115" s="2" t="s">
        <v>846</v>
      </c>
      <c r="E115" s="2" t="s">
        <v>37</v>
      </c>
      <c r="F115" s="2" t="s">
        <v>38</v>
      </c>
      <c r="G115" s="2" t="s">
        <v>39</v>
      </c>
      <c r="H115" s="2" t="s">
        <v>40</v>
      </c>
      <c r="I115" s="2" t="s">
        <v>40</v>
      </c>
      <c r="J115" s="2" t="s">
        <v>995</v>
      </c>
      <c r="K115" s="2" t="s">
        <v>68</v>
      </c>
      <c r="L115" s="2" t="s">
        <v>43</v>
      </c>
      <c r="M115" s="2" t="s">
        <v>44</v>
      </c>
      <c r="N115" s="2"/>
      <c r="O115" s="2" t="n">
        <v>7.875993</v>
      </c>
      <c r="P115" s="2" t="n">
        <v>98.390379</v>
      </c>
      <c r="Q115" s="2"/>
      <c r="R115" s="2" t="s">
        <v>996</v>
      </c>
      <c r="S115" s="2"/>
      <c r="T115" s="2"/>
      <c r="U115" s="2" t="s">
        <v>997</v>
      </c>
      <c r="V115" s="2"/>
      <c r="W115" s="2" t="s">
        <v>461</v>
      </c>
      <c r="X115" s="2"/>
      <c r="Y115" s="2" t="s">
        <v>48</v>
      </c>
      <c r="Z115" s="3" t="s">
        <v>998</v>
      </c>
      <c r="AA115" s="2" t="s">
        <v>40</v>
      </c>
      <c r="AB115" s="2" t="s">
        <v>50</v>
      </c>
      <c r="AC115" s="2" t="n">
        <v>0</v>
      </c>
      <c r="AD115" s="2" t="n">
        <v>663</v>
      </c>
      <c r="AE115" s="2" t="n">
        <v>0</v>
      </c>
      <c r="AF115" s="2"/>
      <c r="AG115" s="2" t="s">
        <v>999</v>
      </c>
      <c r="AH115" s="2" t="s">
        <v>1000</v>
      </c>
      <c r="AI115" s="2" t="n">
        <v>0</v>
      </c>
    </row>
    <row r="116" customFormat="false" ht="15" hidden="false" customHeight="false" outlineLevel="0" collapsed="false">
      <c r="A116" s="2" t="n">
        <v>90840</v>
      </c>
      <c r="B116" s="2" t="s">
        <v>1001</v>
      </c>
      <c r="C116" s="2"/>
      <c r="D116" s="2" t="s">
        <v>1002</v>
      </c>
      <c r="E116" s="2" t="s">
        <v>37</v>
      </c>
      <c r="F116" s="2" t="s">
        <v>38</v>
      </c>
      <c r="G116" s="2" t="s">
        <v>39</v>
      </c>
      <c r="H116" s="2" t="s">
        <v>40</v>
      </c>
      <c r="I116" s="2" t="s">
        <v>40</v>
      </c>
      <c r="J116" s="2" t="s">
        <v>176</v>
      </c>
      <c r="K116" s="2" t="s">
        <v>42</v>
      </c>
      <c r="L116" s="2" t="s">
        <v>43</v>
      </c>
      <c r="M116" s="2" t="s">
        <v>44</v>
      </c>
      <c r="N116" s="2"/>
      <c r="O116" s="2" t="n">
        <v>7.8831836</v>
      </c>
      <c r="P116" s="2" t="n">
        <v>98.389639</v>
      </c>
      <c r="Q116" s="2"/>
      <c r="R116" s="2" t="s">
        <v>1003</v>
      </c>
      <c r="S116" s="2"/>
      <c r="T116" s="2"/>
      <c r="U116" s="2" t="s">
        <v>1004</v>
      </c>
      <c r="V116" s="2"/>
      <c r="W116" s="2" t="s">
        <v>443</v>
      </c>
      <c r="X116" s="2"/>
      <c r="Y116" s="2" t="s">
        <v>48</v>
      </c>
      <c r="Z116" s="3" t="s">
        <v>1005</v>
      </c>
      <c r="AA116" s="2" t="s">
        <v>40</v>
      </c>
      <c r="AB116" s="2" t="s">
        <v>50</v>
      </c>
      <c r="AC116" s="2" t="n">
        <v>0</v>
      </c>
      <c r="AD116" s="2" t="n">
        <v>783</v>
      </c>
      <c r="AE116" s="2" t="n">
        <v>1</v>
      </c>
      <c r="AF116" s="2"/>
      <c r="AG116" s="2" t="s">
        <v>1006</v>
      </c>
      <c r="AH116" s="2" t="s">
        <v>1007</v>
      </c>
      <c r="AI116" s="2" t="n">
        <v>0</v>
      </c>
    </row>
    <row r="117" customFormat="false" ht="15" hidden="false" customHeight="false" outlineLevel="0" collapsed="false">
      <c r="A117" s="2" t="n">
        <v>90878</v>
      </c>
      <c r="B117" s="2" t="s">
        <v>1008</v>
      </c>
      <c r="C117" s="2"/>
      <c r="D117" s="2" t="s">
        <v>1009</v>
      </c>
      <c r="E117" s="2" t="s">
        <v>55</v>
      </c>
      <c r="F117" s="2" t="s">
        <v>38</v>
      </c>
      <c r="G117" s="2" t="s">
        <v>39</v>
      </c>
      <c r="H117" s="2" t="s">
        <v>40</v>
      </c>
      <c r="I117" s="2" t="s">
        <v>40</v>
      </c>
      <c r="J117" s="2" t="s">
        <v>1010</v>
      </c>
      <c r="K117" s="2" t="s">
        <v>42</v>
      </c>
      <c r="L117" s="2" t="s">
        <v>43</v>
      </c>
      <c r="M117" s="2" t="s">
        <v>44</v>
      </c>
      <c r="N117" s="2"/>
      <c r="O117" s="2" t="n">
        <v>7.885812</v>
      </c>
      <c r="P117" s="2" t="n">
        <v>98.3883613</v>
      </c>
      <c r="Q117" s="2"/>
      <c r="R117" s="2" t="s">
        <v>1011</v>
      </c>
      <c r="S117" s="2"/>
      <c r="T117" s="2"/>
      <c r="U117" s="2" t="s">
        <v>1012</v>
      </c>
      <c r="V117" s="2"/>
      <c r="W117" s="2" t="s">
        <v>1013</v>
      </c>
      <c r="X117" s="2"/>
      <c r="Y117" s="2" t="s">
        <v>48</v>
      </c>
      <c r="Z117" s="3" t="s">
        <v>1014</v>
      </c>
      <c r="AA117" s="2" t="s">
        <v>40</v>
      </c>
      <c r="AB117" s="2" t="s">
        <v>50</v>
      </c>
      <c r="AC117" s="2" t="n">
        <v>0</v>
      </c>
      <c r="AD117" s="2" t="n">
        <v>596</v>
      </c>
      <c r="AE117" s="2" t="n">
        <v>0</v>
      </c>
      <c r="AF117" s="2"/>
      <c r="AG117" s="2" t="s">
        <v>1015</v>
      </c>
      <c r="AH117" s="2" t="s">
        <v>1016</v>
      </c>
      <c r="AI117" s="2" t="n">
        <v>0</v>
      </c>
    </row>
    <row r="118" customFormat="false" ht="15" hidden="false" customHeight="false" outlineLevel="0" collapsed="false">
      <c r="A118" s="2" t="n">
        <v>91457</v>
      </c>
      <c r="B118" s="2" t="s">
        <v>1017</v>
      </c>
      <c r="C118" s="2"/>
      <c r="D118" s="2" t="s">
        <v>1018</v>
      </c>
      <c r="E118" s="2" t="s">
        <v>55</v>
      </c>
      <c r="F118" s="2" t="s">
        <v>106</v>
      </c>
      <c r="G118" s="2" t="s">
        <v>39</v>
      </c>
      <c r="H118" s="2" t="s">
        <v>40</v>
      </c>
      <c r="I118" s="2" t="s">
        <v>40</v>
      </c>
      <c r="J118" s="2" t="s">
        <v>1019</v>
      </c>
      <c r="K118" s="2" t="s">
        <v>1020</v>
      </c>
      <c r="L118" s="2" t="s">
        <v>58</v>
      </c>
      <c r="M118" s="2" t="s">
        <v>44</v>
      </c>
      <c r="N118" s="2"/>
      <c r="O118" s="2" t="n">
        <v>8.0210058</v>
      </c>
      <c r="P118" s="2" t="n">
        <v>98.3272672</v>
      </c>
      <c r="Q118" s="2"/>
      <c r="R118" s="2" t="s">
        <v>1021</v>
      </c>
      <c r="S118" s="2"/>
      <c r="T118" s="2"/>
      <c r="U118" s="2" t="s">
        <v>1022</v>
      </c>
      <c r="V118" s="2"/>
      <c r="W118" s="2" t="s">
        <v>81</v>
      </c>
      <c r="X118" s="2"/>
      <c r="Y118" s="2" t="s">
        <v>48</v>
      </c>
      <c r="Z118" s="3" t="s">
        <v>1023</v>
      </c>
      <c r="AA118" s="2" t="s">
        <v>40</v>
      </c>
      <c r="AB118" s="2" t="s">
        <v>50</v>
      </c>
      <c r="AC118" s="2" t="n">
        <v>0</v>
      </c>
      <c r="AD118" s="2" t="n">
        <v>606</v>
      </c>
      <c r="AE118" s="2" t="n">
        <v>0</v>
      </c>
      <c r="AF118" s="2"/>
      <c r="AG118" s="2" t="s">
        <v>1024</v>
      </c>
      <c r="AH118" s="2" t="s">
        <v>1025</v>
      </c>
      <c r="AI118" s="2" t="n">
        <v>0</v>
      </c>
    </row>
    <row r="119" customFormat="false" ht="15" hidden="false" customHeight="false" outlineLevel="0" collapsed="false">
      <c r="A119" s="2" t="n">
        <v>91253</v>
      </c>
      <c r="B119" s="2" t="s">
        <v>1026</v>
      </c>
      <c r="C119" s="2"/>
      <c r="D119" s="2" t="s">
        <v>116</v>
      </c>
      <c r="E119" s="2" t="s">
        <v>37</v>
      </c>
      <c r="F119" s="2" t="s">
        <v>38</v>
      </c>
      <c r="G119" s="2" t="s">
        <v>39</v>
      </c>
      <c r="H119" s="2" t="s">
        <v>40</v>
      </c>
      <c r="I119" s="2" t="s">
        <v>40</v>
      </c>
      <c r="J119" s="2" t="s">
        <v>1027</v>
      </c>
      <c r="K119" s="2" t="s">
        <v>68</v>
      </c>
      <c r="L119" s="2" t="s">
        <v>43</v>
      </c>
      <c r="M119" s="2" t="s">
        <v>44</v>
      </c>
      <c r="N119" s="2"/>
      <c r="O119" s="2" t="n">
        <v>7.8776168</v>
      </c>
      <c r="P119" s="2" t="n">
        <v>98.3945639</v>
      </c>
      <c r="Q119" s="2" t="s">
        <v>1028</v>
      </c>
      <c r="R119" s="2"/>
      <c r="S119" s="2"/>
      <c r="T119" s="2"/>
      <c r="U119" s="2" t="s">
        <v>1029</v>
      </c>
      <c r="V119" s="2"/>
      <c r="W119" s="2" t="s">
        <v>443</v>
      </c>
      <c r="X119" s="2"/>
      <c r="Y119" s="2" t="s">
        <v>48</v>
      </c>
      <c r="Z119" s="3" t="s">
        <v>1030</v>
      </c>
      <c r="AA119" s="2" t="s">
        <v>40</v>
      </c>
      <c r="AB119" s="2" t="s">
        <v>50</v>
      </c>
      <c r="AC119" s="2" t="n">
        <v>0</v>
      </c>
      <c r="AD119" s="2" t="n">
        <v>732</v>
      </c>
      <c r="AE119" s="2" t="n">
        <v>1</v>
      </c>
      <c r="AF119" s="2"/>
      <c r="AG119" s="2" t="s">
        <v>1031</v>
      </c>
      <c r="AH119" s="2" t="s">
        <v>1032</v>
      </c>
      <c r="AI119" s="2" t="n">
        <v>0</v>
      </c>
    </row>
    <row r="120" customFormat="false" ht="15" hidden="false" customHeight="false" outlineLevel="0" collapsed="false">
      <c r="A120" s="2" t="n">
        <v>91430</v>
      </c>
      <c r="B120" s="2" t="s">
        <v>1033</v>
      </c>
      <c r="C120" s="2"/>
      <c r="D120" s="2" t="s">
        <v>1034</v>
      </c>
      <c r="E120" s="2" t="s">
        <v>37</v>
      </c>
      <c r="F120" s="2" t="s">
        <v>106</v>
      </c>
      <c r="G120" s="2" t="s">
        <v>39</v>
      </c>
      <c r="H120" s="2" t="s">
        <v>40</v>
      </c>
      <c r="I120" s="2" t="s">
        <v>40</v>
      </c>
      <c r="J120" s="2" t="s">
        <v>332</v>
      </c>
      <c r="K120" s="2" t="s">
        <v>333</v>
      </c>
      <c r="L120" s="2" t="s">
        <v>58</v>
      </c>
      <c r="M120" s="2" t="s">
        <v>44</v>
      </c>
      <c r="N120" s="2"/>
      <c r="O120" s="2" t="n">
        <v>8.0165002</v>
      </c>
      <c r="P120" s="2" t="n">
        <v>98.3992399</v>
      </c>
      <c r="Q120" s="2"/>
      <c r="R120" s="2" t="s">
        <v>1035</v>
      </c>
      <c r="S120" s="2"/>
      <c r="T120" s="2"/>
      <c r="U120" s="2" t="s">
        <v>1036</v>
      </c>
      <c r="V120" s="2"/>
      <c r="W120" s="2" t="s">
        <v>1037</v>
      </c>
      <c r="X120" s="2"/>
      <c r="Y120" s="2" t="s">
        <v>48</v>
      </c>
      <c r="Z120" s="3" t="s">
        <v>1038</v>
      </c>
      <c r="AA120" s="2" t="s">
        <v>40</v>
      </c>
      <c r="AB120" s="2" t="s">
        <v>50</v>
      </c>
      <c r="AC120" s="2" t="n">
        <v>0</v>
      </c>
      <c r="AD120" s="2" t="n">
        <v>651</v>
      </c>
      <c r="AE120" s="2" t="n">
        <v>0</v>
      </c>
      <c r="AF120" s="2"/>
      <c r="AG120" s="2" t="s">
        <v>1039</v>
      </c>
      <c r="AH120" s="2" t="s">
        <v>1040</v>
      </c>
      <c r="AI120" s="2" t="n">
        <v>0</v>
      </c>
    </row>
    <row r="121" customFormat="false" ht="15" hidden="false" customHeight="false" outlineLevel="0" collapsed="false">
      <c r="A121" s="2" t="n">
        <v>91188</v>
      </c>
      <c r="B121" s="2" t="s">
        <v>1041</v>
      </c>
      <c r="C121" s="2"/>
      <c r="D121" s="2" t="s">
        <v>441</v>
      </c>
      <c r="E121" s="2" t="s">
        <v>37</v>
      </c>
      <c r="F121" s="2" t="s">
        <v>38</v>
      </c>
      <c r="G121" s="2" t="s">
        <v>39</v>
      </c>
      <c r="H121" s="2" t="s">
        <v>40</v>
      </c>
      <c r="I121" s="2" t="s">
        <v>40</v>
      </c>
      <c r="J121" s="2" t="s">
        <v>1042</v>
      </c>
      <c r="K121" s="2" t="s">
        <v>78</v>
      </c>
      <c r="L121" s="2" t="s">
        <v>43</v>
      </c>
      <c r="M121" s="2" t="s">
        <v>44</v>
      </c>
      <c r="N121" s="2"/>
      <c r="O121" s="2" t="n">
        <v>7.9002145</v>
      </c>
      <c r="P121" s="2" t="n">
        <v>98.365271</v>
      </c>
      <c r="Q121" s="2"/>
      <c r="R121" s="2" t="s">
        <v>1043</v>
      </c>
      <c r="S121" s="2"/>
      <c r="T121" s="2"/>
      <c r="U121" s="2" t="s">
        <v>1044</v>
      </c>
      <c r="V121" s="2"/>
      <c r="W121" s="2" t="s">
        <v>368</v>
      </c>
      <c r="X121" s="2"/>
      <c r="Y121" s="2" t="s">
        <v>48</v>
      </c>
      <c r="Z121" s="3" t="s">
        <v>1045</v>
      </c>
      <c r="AA121" s="2" t="s">
        <v>40</v>
      </c>
      <c r="AB121" s="2" t="s">
        <v>50</v>
      </c>
      <c r="AC121" s="2" t="n">
        <v>0</v>
      </c>
      <c r="AD121" s="2" t="n">
        <v>785</v>
      </c>
      <c r="AE121" s="2" t="n">
        <v>0</v>
      </c>
      <c r="AF121" s="2"/>
      <c r="AG121" s="2" t="s">
        <v>1046</v>
      </c>
      <c r="AH121" s="2" t="s">
        <v>1047</v>
      </c>
      <c r="AI121" s="2" t="n">
        <v>0</v>
      </c>
    </row>
    <row r="122" customFormat="false" ht="15" hidden="false" customHeight="false" outlineLevel="0" collapsed="false">
      <c r="A122" s="2" t="n">
        <v>90851</v>
      </c>
      <c r="B122" s="2" t="s">
        <v>1048</v>
      </c>
      <c r="C122" s="2"/>
      <c r="D122" s="2" t="s">
        <v>1049</v>
      </c>
      <c r="E122" s="2" t="s">
        <v>37</v>
      </c>
      <c r="F122" s="2" t="s">
        <v>38</v>
      </c>
      <c r="G122" s="2" t="s">
        <v>39</v>
      </c>
      <c r="H122" s="2" t="s">
        <v>40</v>
      </c>
      <c r="I122" s="2" t="s">
        <v>40</v>
      </c>
      <c r="J122" s="2" t="s">
        <v>176</v>
      </c>
      <c r="K122" s="2" t="s">
        <v>42</v>
      </c>
      <c r="L122" s="2" t="s">
        <v>43</v>
      </c>
      <c r="M122" s="2" t="s">
        <v>44</v>
      </c>
      <c r="N122" s="2"/>
      <c r="O122" s="2" t="n">
        <v>7.8831424</v>
      </c>
      <c r="P122" s="2" t="n">
        <v>98.3895944</v>
      </c>
      <c r="Q122" s="2"/>
      <c r="R122" s="2" t="s">
        <v>1050</v>
      </c>
      <c r="S122" s="2"/>
      <c r="T122" s="2"/>
      <c r="U122" s="2" t="s">
        <v>1051</v>
      </c>
      <c r="V122" s="2"/>
      <c r="W122" s="2" t="s">
        <v>1052</v>
      </c>
      <c r="X122" s="2"/>
      <c r="Y122" s="2" t="s">
        <v>48</v>
      </c>
      <c r="Z122" s="3" t="s">
        <v>1053</v>
      </c>
      <c r="AA122" s="2" t="s">
        <v>40</v>
      </c>
      <c r="AB122" s="2" t="s">
        <v>50</v>
      </c>
      <c r="AC122" s="2" t="n">
        <v>0</v>
      </c>
      <c r="AD122" s="2" t="n">
        <v>959</v>
      </c>
      <c r="AE122" s="2" t="n">
        <v>0</v>
      </c>
      <c r="AF122" s="2"/>
      <c r="AG122" s="2" t="s">
        <v>1054</v>
      </c>
      <c r="AH122" s="2" t="s">
        <v>1055</v>
      </c>
      <c r="AI122" s="2" t="n">
        <v>0</v>
      </c>
    </row>
    <row r="123" customFormat="false" ht="15" hidden="false" customHeight="false" outlineLevel="0" collapsed="false">
      <c r="A123" s="2" t="n">
        <v>92971</v>
      </c>
      <c r="B123" s="2" t="s">
        <v>1056</v>
      </c>
      <c r="C123" s="2"/>
      <c r="D123" s="2" t="s">
        <v>116</v>
      </c>
      <c r="E123" s="2" t="s">
        <v>37</v>
      </c>
      <c r="F123" s="2" t="s">
        <v>38</v>
      </c>
      <c r="G123" s="2" t="s">
        <v>39</v>
      </c>
      <c r="H123" s="2" t="s">
        <v>40</v>
      </c>
      <c r="I123" s="2" t="s">
        <v>40</v>
      </c>
      <c r="J123" s="2" t="s">
        <v>782</v>
      </c>
      <c r="K123" s="2" t="s">
        <v>474</v>
      </c>
      <c r="L123" s="2" t="s">
        <v>43</v>
      </c>
      <c r="M123" s="2" t="s">
        <v>44</v>
      </c>
      <c r="N123" s="2"/>
      <c r="O123" s="2" t="n">
        <v>7.849918</v>
      </c>
      <c r="P123" s="2" t="n">
        <v>98.334384</v>
      </c>
      <c r="Q123" s="2"/>
      <c r="R123" s="2" t="s">
        <v>1057</v>
      </c>
      <c r="S123" s="2"/>
      <c r="T123" s="2"/>
      <c r="U123" s="2" t="s">
        <v>1058</v>
      </c>
      <c r="V123" s="2"/>
      <c r="W123" s="2" t="s">
        <v>1059</v>
      </c>
      <c r="X123" s="2"/>
      <c r="Y123" s="2" t="s">
        <v>48</v>
      </c>
      <c r="Z123" s="3" t="s">
        <v>1060</v>
      </c>
      <c r="AA123" s="2" t="s">
        <v>40</v>
      </c>
      <c r="AB123" s="2" t="s">
        <v>50</v>
      </c>
      <c r="AC123" s="2" t="n">
        <v>0</v>
      </c>
      <c r="AD123" s="2" t="n">
        <v>637</v>
      </c>
      <c r="AE123" s="2" t="n">
        <v>0</v>
      </c>
      <c r="AF123" s="2"/>
      <c r="AG123" s="2" t="s">
        <v>1061</v>
      </c>
      <c r="AH123" s="2" t="s">
        <v>1062</v>
      </c>
      <c r="AI123" s="2" t="n">
        <v>0</v>
      </c>
    </row>
    <row r="124" customFormat="false" ht="15" hidden="false" customHeight="false" outlineLevel="0" collapsed="false">
      <c r="A124" s="2" t="n">
        <v>91429</v>
      </c>
      <c r="B124" s="2" t="s">
        <v>1063</v>
      </c>
      <c r="C124" s="2"/>
      <c r="D124" s="2" t="s">
        <v>1064</v>
      </c>
      <c r="E124" s="2" t="s">
        <v>37</v>
      </c>
      <c r="F124" s="2" t="s">
        <v>106</v>
      </c>
      <c r="G124" s="2" t="s">
        <v>39</v>
      </c>
      <c r="H124" s="2" t="s">
        <v>40</v>
      </c>
      <c r="I124" s="2" t="s">
        <v>40</v>
      </c>
      <c r="J124" s="2" t="s">
        <v>679</v>
      </c>
      <c r="K124" s="2" t="s">
        <v>78</v>
      </c>
      <c r="L124" s="2" t="s">
        <v>43</v>
      </c>
      <c r="M124" s="2" t="s">
        <v>44</v>
      </c>
      <c r="N124" s="2"/>
      <c r="O124" s="2" t="n">
        <v>7.8838494</v>
      </c>
      <c r="P124" s="2" t="n">
        <v>98.3638675</v>
      </c>
      <c r="Q124" s="2"/>
      <c r="R124" s="2" t="s">
        <v>1065</v>
      </c>
      <c r="S124" s="2"/>
      <c r="T124" s="2"/>
      <c r="U124" s="2" t="s">
        <v>1066</v>
      </c>
      <c r="V124" s="2"/>
      <c r="W124" s="2" t="s">
        <v>567</v>
      </c>
      <c r="X124" s="2"/>
      <c r="Y124" s="2" t="s">
        <v>48</v>
      </c>
      <c r="Z124" s="3" t="s">
        <v>1067</v>
      </c>
      <c r="AA124" s="2" t="s">
        <v>40</v>
      </c>
      <c r="AB124" s="2" t="s">
        <v>50</v>
      </c>
      <c r="AC124" s="2" t="n">
        <v>0</v>
      </c>
      <c r="AD124" s="2" t="n">
        <v>646</v>
      </c>
      <c r="AE124" s="2" t="n">
        <v>0</v>
      </c>
      <c r="AF124" s="2"/>
      <c r="AG124" s="2" t="s">
        <v>1068</v>
      </c>
      <c r="AH124" s="2" t="s">
        <v>1069</v>
      </c>
      <c r="AI124" s="2" t="n">
        <v>0</v>
      </c>
    </row>
    <row r="125" customFormat="false" ht="15" hidden="false" customHeight="false" outlineLevel="0" collapsed="false">
      <c r="A125" s="2" t="n">
        <v>91288</v>
      </c>
      <c r="B125" s="2" t="s">
        <v>1070</v>
      </c>
      <c r="C125" s="2"/>
      <c r="D125" s="2" t="s">
        <v>184</v>
      </c>
      <c r="E125" s="2" t="s">
        <v>37</v>
      </c>
      <c r="F125" s="2" t="s">
        <v>38</v>
      </c>
      <c r="G125" s="2" t="s">
        <v>39</v>
      </c>
      <c r="H125" s="2" t="s">
        <v>40</v>
      </c>
      <c r="I125" s="2" t="s">
        <v>40</v>
      </c>
      <c r="J125" s="2" t="s">
        <v>1071</v>
      </c>
      <c r="K125" s="2" t="s">
        <v>68</v>
      </c>
      <c r="L125" s="2" t="s">
        <v>43</v>
      </c>
      <c r="M125" s="2" t="s">
        <v>44</v>
      </c>
      <c r="N125" s="2"/>
      <c r="O125" s="2" t="n">
        <v>7.884827</v>
      </c>
      <c r="P125" s="2" t="n">
        <v>98.38795</v>
      </c>
      <c r="Q125" s="2"/>
      <c r="R125" s="2" t="s">
        <v>1072</v>
      </c>
      <c r="S125" s="2"/>
      <c r="T125" s="2"/>
      <c r="U125" s="2" t="s">
        <v>1073</v>
      </c>
      <c r="V125" s="2"/>
      <c r="W125" s="2" t="s">
        <v>1074</v>
      </c>
      <c r="X125" s="2"/>
      <c r="Y125" s="2" t="s">
        <v>48</v>
      </c>
      <c r="Z125" s="3" t="s">
        <v>1075</v>
      </c>
      <c r="AA125" s="2" t="s">
        <v>40</v>
      </c>
      <c r="AB125" s="2" t="s">
        <v>50</v>
      </c>
      <c r="AC125" s="2" t="n">
        <v>0</v>
      </c>
      <c r="AD125" s="2" t="n">
        <v>639</v>
      </c>
      <c r="AE125" s="2" t="n">
        <v>0</v>
      </c>
      <c r="AF125" s="2"/>
      <c r="AG125" s="2" t="s">
        <v>1076</v>
      </c>
      <c r="AH125" s="2" t="s">
        <v>1077</v>
      </c>
      <c r="AI125" s="2" t="n">
        <v>0</v>
      </c>
    </row>
    <row r="126" customFormat="false" ht="15" hidden="false" customHeight="false" outlineLevel="0" collapsed="false">
      <c r="A126" s="2" t="n">
        <v>91186</v>
      </c>
      <c r="B126" s="2" t="s">
        <v>1078</v>
      </c>
      <c r="C126" s="2"/>
      <c r="D126" s="2" t="s">
        <v>104</v>
      </c>
      <c r="E126" s="2" t="s">
        <v>55</v>
      </c>
      <c r="F126" s="2" t="s">
        <v>237</v>
      </c>
      <c r="G126" s="2" t="s">
        <v>39</v>
      </c>
      <c r="H126" s="2" t="s">
        <v>40</v>
      </c>
      <c r="I126" s="2" t="s">
        <v>40</v>
      </c>
      <c r="J126" s="2" t="s">
        <v>1079</v>
      </c>
      <c r="K126" s="2" t="s">
        <v>108</v>
      </c>
      <c r="L126" s="2" t="s">
        <v>109</v>
      </c>
      <c r="M126" s="2" t="s">
        <v>44</v>
      </c>
      <c r="N126" s="2"/>
      <c r="O126" s="2" t="n">
        <v>7.8982803</v>
      </c>
      <c r="P126" s="2" t="n">
        <v>98.2998124</v>
      </c>
      <c r="Q126" s="2" t="s">
        <v>1080</v>
      </c>
      <c r="R126" s="2"/>
      <c r="S126" s="2"/>
      <c r="T126" s="2"/>
      <c r="U126" s="2" t="s">
        <v>1081</v>
      </c>
      <c r="V126" s="2"/>
      <c r="W126" s="2" t="s">
        <v>1082</v>
      </c>
      <c r="X126" s="2"/>
      <c r="Y126" s="2" t="s">
        <v>48</v>
      </c>
      <c r="Z126" s="3" t="s">
        <v>1083</v>
      </c>
      <c r="AA126" s="2" t="s">
        <v>40</v>
      </c>
      <c r="AB126" s="2" t="s">
        <v>50</v>
      </c>
      <c r="AC126" s="2" t="n">
        <v>0</v>
      </c>
      <c r="AD126" s="2" t="n">
        <v>714</v>
      </c>
      <c r="AE126" s="2" t="n">
        <v>1</v>
      </c>
      <c r="AF126" s="2"/>
      <c r="AG126" s="2" t="s">
        <v>1084</v>
      </c>
      <c r="AH126" s="2" t="s">
        <v>1085</v>
      </c>
      <c r="AI126" s="2" t="n">
        <v>0</v>
      </c>
    </row>
    <row r="127" customFormat="false" ht="15" hidden="false" customHeight="false" outlineLevel="0" collapsed="false">
      <c r="A127" s="2" t="n">
        <v>91343</v>
      </c>
      <c r="B127" s="2" t="s">
        <v>1086</v>
      </c>
      <c r="C127" s="2"/>
      <c r="D127" s="2" t="s">
        <v>1087</v>
      </c>
      <c r="E127" s="2" t="s">
        <v>37</v>
      </c>
      <c r="F127" s="2" t="s">
        <v>38</v>
      </c>
      <c r="G127" s="2" t="s">
        <v>39</v>
      </c>
      <c r="H127" s="2" t="s">
        <v>40</v>
      </c>
      <c r="I127" s="2" t="s">
        <v>40</v>
      </c>
      <c r="J127" s="2" t="s">
        <v>1088</v>
      </c>
      <c r="K127" s="2" t="s">
        <v>68</v>
      </c>
      <c r="L127" s="2" t="s">
        <v>43</v>
      </c>
      <c r="M127" s="2" t="s">
        <v>44</v>
      </c>
      <c r="N127" s="2"/>
      <c r="O127" s="2" t="n">
        <v>7.8905094</v>
      </c>
      <c r="P127" s="2" t="n">
        <v>98.3899049</v>
      </c>
      <c r="Q127" s="2"/>
      <c r="R127" s="2" t="s">
        <v>1089</v>
      </c>
      <c r="S127" s="2"/>
      <c r="T127" s="2"/>
      <c r="U127" s="2" t="s">
        <v>1090</v>
      </c>
      <c r="V127" s="2"/>
      <c r="W127" s="2" t="s">
        <v>1091</v>
      </c>
      <c r="X127" s="2"/>
      <c r="Y127" s="2" t="s">
        <v>48</v>
      </c>
      <c r="Z127" s="3" t="s">
        <v>1092</v>
      </c>
      <c r="AA127" s="2" t="s">
        <v>40</v>
      </c>
      <c r="AB127" s="2" t="s">
        <v>50</v>
      </c>
      <c r="AC127" s="2" t="n">
        <v>0</v>
      </c>
      <c r="AD127" s="2" t="n">
        <v>561</v>
      </c>
      <c r="AE127" s="2" t="n">
        <v>0</v>
      </c>
      <c r="AF127" s="2"/>
      <c r="AG127" s="2" t="s">
        <v>1093</v>
      </c>
      <c r="AH127" s="2" t="s">
        <v>1094</v>
      </c>
      <c r="AI127" s="2" t="n">
        <v>0</v>
      </c>
    </row>
    <row r="128" customFormat="false" ht="15" hidden="false" customHeight="false" outlineLevel="0" collapsed="false">
      <c r="A128" s="2" t="n">
        <v>91746</v>
      </c>
      <c r="B128" s="2" t="s">
        <v>1095</v>
      </c>
      <c r="C128" s="2"/>
      <c r="D128" s="2" t="s">
        <v>1096</v>
      </c>
      <c r="E128" s="2" t="s">
        <v>37</v>
      </c>
      <c r="F128" s="2" t="s">
        <v>38</v>
      </c>
      <c r="G128" s="2" t="s">
        <v>39</v>
      </c>
      <c r="H128" s="2" t="s">
        <v>40</v>
      </c>
      <c r="I128" s="2" t="s">
        <v>40</v>
      </c>
      <c r="J128" s="2" t="s">
        <v>679</v>
      </c>
      <c r="K128" s="2" t="s">
        <v>78</v>
      </c>
      <c r="L128" s="2" t="s">
        <v>43</v>
      </c>
      <c r="M128" s="2" t="s">
        <v>44</v>
      </c>
      <c r="N128" s="2"/>
      <c r="O128" s="2" t="n">
        <v>7.8842463</v>
      </c>
      <c r="P128" s="2" t="n">
        <v>98.3649445</v>
      </c>
      <c r="Q128" s="2"/>
      <c r="R128" s="2" t="s">
        <v>1097</v>
      </c>
      <c r="S128" s="2"/>
      <c r="T128" s="2"/>
      <c r="U128" s="2" t="s">
        <v>1098</v>
      </c>
      <c r="V128" s="2"/>
      <c r="W128" s="2" t="s">
        <v>990</v>
      </c>
      <c r="X128" s="2"/>
      <c r="Y128" s="2" t="s">
        <v>48</v>
      </c>
      <c r="Z128" s="3" t="s">
        <v>1099</v>
      </c>
      <c r="AA128" s="2" t="s">
        <v>40</v>
      </c>
      <c r="AB128" s="2" t="s">
        <v>50</v>
      </c>
      <c r="AC128" s="2" t="n">
        <v>0</v>
      </c>
      <c r="AD128" s="2" t="n">
        <v>621</v>
      </c>
      <c r="AE128" s="2" t="n">
        <v>0</v>
      </c>
      <c r="AF128" s="2"/>
      <c r="AG128" s="2" t="s">
        <v>1100</v>
      </c>
      <c r="AH128" s="2" t="s">
        <v>1101</v>
      </c>
      <c r="AI128" s="2" t="n">
        <v>0</v>
      </c>
    </row>
    <row r="129" customFormat="false" ht="15" hidden="false" customHeight="false" outlineLevel="0" collapsed="false">
      <c r="A129" s="2" t="n">
        <v>91485</v>
      </c>
      <c r="B129" s="2" t="s">
        <v>1102</v>
      </c>
      <c r="C129" s="2"/>
      <c r="D129" s="2" t="s">
        <v>1103</v>
      </c>
      <c r="E129" s="2" t="s">
        <v>37</v>
      </c>
      <c r="F129" s="2" t="s">
        <v>38</v>
      </c>
      <c r="G129" s="2" t="s">
        <v>39</v>
      </c>
      <c r="H129" s="2" t="s">
        <v>40</v>
      </c>
      <c r="I129" s="2" t="s">
        <v>40</v>
      </c>
      <c r="J129" s="2" t="s">
        <v>1104</v>
      </c>
      <c r="K129" s="2" t="s">
        <v>474</v>
      </c>
      <c r="L129" s="2" t="s">
        <v>43</v>
      </c>
      <c r="M129" s="2" t="s">
        <v>44</v>
      </c>
      <c r="N129" s="2"/>
      <c r="O129" s="2" t="n">
        <v>7.8580316</v>
      </c>
      <c r="P129" s="2" t="n">
        <v>98.3418534</v>
      </c>
      <c r="Q129" s="2"/>
      <c r="R129" s="2" t="s">
        <v>1105</v>
      </c>
      <c r="S129" s="2"/>
      <c r="T129" s="2"/>
      <c r="U129" s="2" t="s">
        <v>1106</v>
      </c>
      <c r="V129" s="2"/>
      <c r="W129" s="2" t="s">
        <v>452</v>
      </c>
      <c r="X129" s="2"/>
      <c r="Y129" s="2" t="s">
        <v>48</v>
      </c>
      <c r="Z129" s="3" t="s">
        <v>1107</v>
      </c>
      <c r="AA129" s="2" t="s">
        <v>40</v>
      </c>
      <c r="AB129" s="2" t="s">
        <v>50</v>
      </c>
      <c r="AC129" s="2" t="n">
        <v>0</v>
      </c>
      <c r="AD129" s="2" t="n">
        <v>1109</v>
      </c>
      <c r="AE129" s="2" t="n">
        <v>0</v>
      </c>
      <c r="AF129" s="2"/>
      <c r="AG129" s="2" t="s">
        <v>1108</v>
      </c>
      <c r="AH129" s="2" t="s">
        <v>1109</v>
      </c>
      <c r="AI129" s="2" t="n">
        <v>0</v>
      </c>
    </row>
    <row r="130" customFormat="false" ht="15" hidden="false" customHeight="false" outlineLevel="0" collapsed="false">
      <c r="A130" s="2" t="n">
        <v>91968</v>
      </c>
      <c r="B130" s="2" t="s">
        <v>1110</v>
      </c>
      <c r="C130" s="2"/>
      <c r="D130" s="2" t="s">
        <v>1111</v>
      </c>
      <c r="E130" s="2" t="s">
        <v>37</v>
      </c>
      <c r="F130" s="2" t="s">
        <v>38</v>
      </c>
      <c r="G130" s="2" t="s">
        <v>39</v>
      </c>
      <c r="H130" s="2" t="s">
        <v>40</v>
      </c>
      <c r="I130" s="2" t="s">
        <v>40</v>
      </c>
      <c r="J130" s="2" t="s">
        <v>41</v>
      </c>
      <c r="K130" s="2" t="s">
        <v>42</v>
      </c>
      <c r="L130" s="2" t="s">
        <v>43</v>
      </c>
      <c r="M130" s="2" t="s">
        <v>44</v>
      </c>
      <c r="N130" s="2"/>
      <c r="O130" s="2" t="n">
        <v>7.875805</v>
      </c>
      <c r="P130" s="2" t="n">
        <v>98.379331</v>
      </c>
      <c r="Q130" s="2"/>
      <c r="R130" s="2" t="s">
        <v>1112</v>
      </c>
      <c r="S130" s="2"/>
      <c r="T130" s="2"/>
      <c r="U130" s="2" t="s">
        <v>1113</v>
      </c>
      <c r="V130" s="2"/>
      <c r="W130" s="2" t="s">
        <v>1114</v>
      </c>
      <c r="X130" s="2"/>
      <c r="Y130" s="2" t="s">
        <v>48</v>
      </c>
      <c r="Z130" s="3" t="s">
        <v>1115</v>
      </c>
      <c r="AA130" s="2" t="s">
        <v>40</v>
      </c>
      <c r="AB130" s="2" t="s">
        <v>50</v>
      </c>
      <c r="AC130" s="2" t="n">
        <v>0</v>
      </c>
      <c r="AD130" s="2" t="n">
        <v>578</v>
      </c>
      <c r="AE130" s="2" t="n">
        <v>0</v>
      </c>
      <c r="AF130" s="2"/>
      <c r="AG130" s="2" t="s">
        <v>1116</v>
      </c>
      <c r="AH130" s="2" t="s">
        <v>1117</v>
      </c>
      <c r="AI130" s="2" t="n">
        <v>0</v>
      </c>
    </row>
    <row r="131" customFormat="false" ht="15" hidden="false" customHeight="false" outlineLevel="0" collapsed="false">
      <c r="A131" s="2" t="n">
        <v>91161</v>
      </c>
      <c r="B131" s="2" t="s">
        <v>1118</v>
      </c>
      <c r="C131" s="2"/>
      <c r="D131" s="2" t="s">
        <v>670</v>
      </c>
      <c r="E131" s="2" t="s">
        <v>37</v>
      </c>
      <c r="F131" s="2" t="s">
        <v>38</v>
      </c>
      <c r="G131" s="2" t="s">
        <v>39</v>
      </c>
      <c r="H131" s="2" t="s">
        <v>40</v>
      </c>
      <c r="I131" s="2" t="s">
        <v>40</v>
      </c>
      <c r="J131" s="2" t="s">
        <v>1119</v>
      </c>
      <c r="K131" s="2" t="s">
        <v>109</v>
      </c>
      <c r="L131" s="2" t="s">
        <v>109</v>
      </c>
      <c r="M131" s="2" t="s">
        <v>44</v>
      </c>
      <c r="N131" s="2"/>
      <c r="O131" s="2" t="n">
        <v>7.9093784</v>
      </c>
      <c r="P131" s="2" t="n">
        <v>98.3454105</v>
      </c>
      <c r="Q131" s="2"/>
      <c r="R131" s="2" t="s">
        <v>1120</v>
      </c>
      <c r="S131" s="2"/>
      <c r="T131" s="2"/>
      <c r="U131" s="2" t="s">
        <v>1121</v>
      </c>
      <c r="V131" s="2"/>
      <c r="W131" s="2" t="s">
        <v>1122</v>
      </c>
      <c r="X131" s="2"/>
      <c r="Y131" s="2" t="s">
        <v>48</v>
      </c>
      <c r="Z131" s="3" t="s">
        <v>1123</v>
      </c>
      <c r="AA131" s="2" t="s">
        <v>40</v>
      </c>
      <c r="AB131" s="2" t="s">
        <v>50</v>
      </c>
      <c r="AC131" s="2" t="n">
        <v>0</v>
      </c>
      <c r="AD131" s="2" t="n">
        <v>695</v>
      </c>
      <c r="AE131" s="2" t="n">
        <v>0</v>
      </c>
      <c r="AF131" s="2"/>
      <c r="AG131" s="2" t="s">
        <v>1124</v>
      </c>
      <c r="AH131" s="2" t="s">
        <v>1125</v>
      </c>
      <c r="AI131" s="2" t="n">
        <v>0</v>
      </c>
    </row>
    <row r="132" customFormat="false" ht="15" hidden="false" customHeight="false" outlineLevel="0" collapsed="false">
      <c r="A132" s="2" t="n">
        <v>91277</v>
      </c>
      <c r="B132" s="2" t="s">
        <v>1126</v>
      </c>
      <c r="C132" s="2"/>
      <c r="D132" s="2" t="s">
        <v>1127</v>
      </c>
      <c r="E132" s="2" t="s">
        <v>37</v>
      </c>
      <c r="F132" s="2" t="s">
        <v>38</v>
      </c>
      <c r="G132" s="2" t="s">
        <v>39</v>
      </c>
      <c r="H132" s="2" t="s">
        <v>40</v>
      </c>
      <c r="I132" s="2" t="s">
        <v>40</v>
      </c>
      <c r="J132" s="2" t="s">
        <v>1128</v>
      </c>
      <c r="K132" s="2" t="s">
        <v>68</v>
      </c>
      <c r="L132" s="2" t="s">
        <v>43</v>
      </c>
      <c r="M132" s="2" t="s">
        <v>44</v>
      </c>
      <c r="N132" s="2"/>
      <c r="O132" s="2" t="n">
        <v>7.8832919</v>
      </c>
      <c r="P132" s="2" t="n">
        <v>98.3907676</v>
      </c>
      <c r="Q132" s="2"/>
      <c r="R132" s="2" t="s">
        <v>1129</v>
      </c>
      <c r="S132" s="2"/>
      <c r="T132" s="2"/>
      <c r="U132" s="2" t="s">
        <v>1130</v>
      </c>
      <c r="V132" s="2"/>
      <c r="W132" s="2" t="s">
        <v>1131</v>
      </c>
      <c r="X132" s="2"/>
      <c r="Y132" s="2" t="s">
        <v>48</v>
      </c>
      <c r="Z132" s="3" t="s">
        <v>1132</v>
      </c>
      <c r="AA132" s="2" t="s">
        <v>40</v>
      </c>
      <c r="AB132" s="2" t="s">
        <v>50</v>
      </c>
      <c r="AC132" s="2" t="n">
        <v>0</v>
      </c>
      <c r="AD132" s="2" t="n">
        <v>617</v>
      </c>
      <c r="AE132" s="2" t="n">
        <v>1</v>
      </c>
      <c r="AF132" s="2"/>
      <c r="AG132" s="2" t="s">
        <v>1133</v>
      </c>
      <c r="AH132" s="2" t="s">
        <v>1134</v>
      </c>
      <c r="AI132" s="2" t="n">
        <v>0</v>
      </c>
    </row>
    <row r="133" customFormat="false" ht="15" hidden="false" customHeight="false" outlineLevel="0" collapsed="false">
      <c r="A133" s="2" t="n">
        <v>91939</v>
      </c>
      <c r="B133" s="2" t="s">
        <v>1135</v>
      </c>
      <c r="C133" s="2"/>
      <c r="D133" s="2" t="s">
        <v>104</v>
      </c>
      <c r="E133" s="2" t="s">
        <v>55</v>
      </c>
      <c r="F133" s="2" t="s">
        <v>106</v>
      </c>
      <c r="G133" s="2" t="s">
        <v>39</v>
      </c>
      <c r="H133" s="2" t="s">
        <v>40</v>
      </c>
      <c r="I133" s="2" t="s">
        <v>40</v>
      </c>
      <c r="J133" s="2" t="s">
        <v>1136</v>
      </c>
      <c r="K133" s="2" t="s">
        <v>399</v>
      </c>
      <c r="L133" s="2" t="s">
        <v>43</v>
      </c>
      <c r="M133" s="2" t="s">
        <v>44</v>
      </c>
      <c r="N133" s="2"/>
      <c r="O133" s="2" t="n">
        <v>7.842063</v>
      </c>
      <c r="P133" s="2" t="n">
        <v>98.3025289</v>
      </c>
      <c r="Q133" s="2" t="s">
        <v>1137</v>
      </c>
      <c r="R133" s="2"/>
      <c r="S133" s="2"/>
      <c r="T133" s="2"/>
      <c r="U133" s="2" t="s">
        <v>1138</v>
      </c>
      <c r="V133" s="2"/>
      <c r="W133" s="2" t="s">
        <v>318</v>
      </c>
      <c r="X133" s="2"/>
      <c r="Y133" s="2" t="s">
        <v>48</v>
      </c>
      <c r="Z133" s="3" t="s">
        <v>1139</v>
      </c>
      <c r="AA133" s="2" t="s">
        <v>40</v>
      </c>
      <c r="AB133" s="2" t="s">
        <v>50</v>
      </c>
      <c r="AC133" s="2" t="n">
        <v>0</v>
      </c>
      <c r="AD133" s="2" t="n">
        <v>562</v>
      </c>
      <c r="AE133" s="2" t="n">
        <v>0</v>
      </c>
      <c r="AF133" s="2"/>
      <c r="AG133" s="2" t="s">
        <v>1140</v>
      </c>
      <c r="AH133" s="2" t="s">
        <v>1141</v>
      </c>
      <c r="AI133" s="2" t="n">
        <v>0</v>
      </c>
    </row>
    <row r="134" customFormat="false" ht="15" hidden="false" customHeight="false" outlineLevel="0" collapsed="false">
      <c r="A134" s="2" t="n">
        <v>91460</v>
      </c>
      <c r="B134" s="2" t="s">
        <v>1142</v>
      </c>
      <c r="C134" s="2"/>
      <c r="D134" s="2" t="s">
        <v>262</v>
      </c>
      <c r="E134" s="2" t="s">
        <v>117</v>
      </c>
      <c r="F134" s="2" t="s">
        <v>38</v>
      </c>
      <c r="G134" s="2" t="s">
        <v>39</v>
      </c>
      <c r="H134" s="2" t="s">
        <v>40</v>
      </c>
      <c r="I134" s="2" t="s">
        <v>40</v>
      </c>
      <c r="J134" s="2" t="s">
        <v>1143</v>
      </c>
      <c r="K134" s="2" t="s">
        <v>68</v>
      </c>
      <c r="L134" s="2" t="s">
        <v>43</v>
      </c>
      <c r="M134" s="2" t="s">
        <v>44</v>
      </c>
      <c r="N134" s="2"/>
      <c r="O134" s="2" t="n">
        <v>7.874383</v>
      </c>
      <c r="P134" s="2" t="n">
        <v>98.390256</v>
      </c>
      <c r="Q134" s="2"/>
      <c r="R134" s="2" t="s">
        <v>1144</v>
      </c>
      <c r="S134" s="2"/>
      <c r="T134" s="2"/>
      <c r="U134" s="2" t="s">
        <v>1145</v>
      </c>
      <c r="V134" s="2"/>
      <c r="W134" s="2" t="s">
        <v>1146</v>
      </c>
      <c r="X134" s="2"/>
      <c r="Y134" s="2" t="s">
        <v>48</v>
      </c>
      <c r="Z134" s="3" t="s">
        <v>1147</v>
      </c>
      <c r="AA134" s="2" t="s">
        <v>40</v>
      </c>
      <c r="AB134" s="2" t="s">
        <v>50</v>
      </c>
      <c r="AC134" s="2" t="n">
        <v>0</v>
      </c>
      <c r="AD134" s="2" t="n">
        <v>791</v>
      </c>
      <c r="AE134" s="2" t="n">
        <v>0</v>
      </c>
      <c r="AF134" s="2"/>
      <c r="AG134" s="2" t="s">
        <v>1148</v>
      </c>
      <c r="AH134" s="2" t="s">
        <v>1149</v>
      </c>
      <c r="AI134" s="2" t="n">
        <v>0</v>
      </c>
    </row>
    <row r="135" customFormat="false" ht="15" hidden="false" customHeight="false" outlineLevel="0" collapsed="false">
      <c r="A135" s="2" t="n">
        <v>92089</v>
      </c>
      <c r="B135" s="2" t="s">
        <v>1150</v>
      </c>
      <c r="C135" s="2"/>
      <c r="D135" s="2" t="s">
        <v>1151</v>
      </c>
      <c r="E135" s="2" t="s">
        <v>37</v>
      </c>
      <c r="F135" s="2" t="s">
        <v>38</v>
      </c>
      <c r="G135" s="2" t="s">
        <v>39</v>
      </c>
      <c r="H135" s="2" t="s">
        <v>40</v>
      </c>
      <c r="I135" s="2" t="s">
        <v>40</v>
      </c>
      <c r="J135" s="2" t="s">
        <v>1152</v>
      </c>
      <c r="K135" s="2" t="s">
        <v>88</v>
      </c>
      <c r="L135" s="2" t="s">
        <v>43</v>
      </c>
      <c r="M135" s="2" t="s">
        <v>44</v>
      </c>
      <c r="N135" s="2"/>
      <c r="O135" s="2" t="n">
        <v>7.804649</v>
      </c>
      <c r="P135" s="2" t="n">
        <v>98.331735</v>
      </c>
      <c r="Q135" s="2"/>
      <c r="R135" s="2" t="s">
        <v>1153</v>
      </c>
      <c r="S135" s="2"/>
      <c r="T135" s="2"/>
      <c r="U135" s="2" t="s">
        <v>1154</v>
      </c>
      <c r="V135" s="2"/>
      <c r="W135" s="2" t="s">
        <v>1155</v>
      </c>
      <c r="X135" s="2"/>
      <c r="Y135" s="2" t="s">
        <v>48</v>
      </c>
      <c r="Z135" s="3" t="s">
        <v>1156</v>
      </c>
      <c r="AA135" s="2" t="s">
        <v>40</v>
      </c>
      <c r="AB135" s="2" t="s">
        <v>50</v>
      </c>
      <c r="AC135" s="2" t="n">
        <v>0</v>
      </c>
      <c r="AD135" s="2" t="n">
        <v>690</v>
      </c>
      <c r="AE135" s="2" t="n">
        <v>1</v>
      </c>
      <c r="AF135" s="2"/>
      <c r="AG135" s="2" t="s">
        <v>1157</v>
      </c>
      <c r="AH135" s="2" t="s">
        <v>1158</v>
      </c>
      <c r="AI135" s="2" t="n">
        <v>0</v>
      </c>
    </row>
    <row r="136" customFormat="false" ht="15" hidden="false" customHeight="false" outlineLevel="0" collapsed="false">
      <c r="A136" s="2" t="n">
        <v>91440</v>
      </c>
      <c r="B136" s="2" t="s">
        <v>1159</v>
      </c>
      <c r="C136" s="2"/>
      <c r="D136" s="2" t="s">
        <v>1160</v>
      </c>
      <c r="E136" s="2" t="s">
        <v>55</v>
      </c>
      <c r="F136" s="2" t="s">
        <v>106</v>
      </c>
      <c r="G136" s="2" t="s">
        <v>39</v>
      </c>
      <c r="H136" s="2" t="s">
        <v>40</v>
      </c>
      <c r="I136" s="2" t="s">
        <v>40</v>
      </c>
      <c r="J136" s="2" t="s">
        <v>1161</v>
      </c>
      <c r="K136" s="2" t="s">
        <v>333</v>
      </c>
      <c r="L136" s="2" t="s">
        <v>58</v>
      </c>
      <c r="M136" s="2" t="s">
        <v>44</v>
      </c>
      <c r="N136" s="2"/>
      <c r="O136" s="2" t="n">
        <v>8.067127</v>
      </c>
      <c r="P136" s="2" t="n">
        <v>98.436788</v>
      </c>
      <c r="Q136" s="2"/>
      <c r="R136" s="2" t="s">
        <v>1162</v>
      </c>
      <c r="S136" s="2"/>
      <c r="T136" s="2"/>
      <c r="U136" s="2" t="s">
        <v>1163</v>
      </c>
      <c r="V136" s="2"/>
      <c r="W136" s="2" t="s">
        <v>292</v>
      </c>
      <c r="X136" s="2"/>
      <c r="Y136" s="2" t="s">
        <v>48</v>
      </c>
      <c r="Z136" s="3" t="s">
        <v>1164</v>
      </c>
      <c r="AA136" s="2" t="s">
        <v>40</v>
      </c>
      <c r="AB136" s="2" t="s">
        <v>50</v>
      </c>
      <c r="AC136" s="2" t="n">
        <v>0</v>
      </c>
      <c r="AD136" s="2" t="n">
        <v>654</v>
      </c>
      <c r="AE136" s="2" t="n">
        <v>0</v>
      </c>
      <c r="AF136" s="2"/>
      <c r="AG136" s="2" t="s">
        <v>1165</v>
      </c>
      <c r="AH136" s="2" t="s">
        <v>1166</v>
      </c>
      <c r="AI136" s="2" t="n">
        <v>0</v>
      </c>
    </row>
    <row r="137" customFormat="false" ht="15" hidden="false" customHeight="false" outlineLevel="0" collapsed="false">
      <c r="A137" s="2" t="n">
        <v>91384</v>
      </c>
      <c r="B137" s="2" t="s">
        <v>1167</v>
      </c>
      <c r="C137" s="2"/>
      <c r="D137" s="2" t="s">
        <v>1168</v>
      </c>
      <c r="E137" s="2" t="s">
        <v>55</v>
      </c>
      <c r="F137" s="2" t="s">
        <v>106</v>
      </c>
      <c r="G137" s="2" t="s">
        <v>39</v>
      </c>
      <c r="H137" s="2" t="s">
        <v>40</v>
      </c>
      <c r="I137" s="2" t="s">
        <v>40</v>
      </c>
      <c r="J137" s="2" t="s">
        <v>1169</v>
      </c>
      <c r="K137" s="2" t="s">
        <v>399</v>
      </c>
      <c r="L137" s="2" t="s">
        <v>43</v>
      </c>
      <c r="M137" s="2" t="s">
        <v>44</v>
      </c>
      <c r="N137" s="2"/>
      <c r="O137" s="2" t="n">
        <v>7.847347</v>
      </c>
      <c r="P137" s="2" t="n">
        <v>98.298859</v>
      </c>
      <c r="Q137" s="2" t="s">
        <v>1170</v>
      </c>
      <c r="R137" s="2"/>
      <c r="S137" s="2"/>
      <c r="T137" s="2"/>
      <c r="U137" s="2" t="s">
        <v>1171</v>
      </c>
      <c r="V137" s="2"/>
      <c r="W137" s="2" t="s">
        <v>452</v>
      </c>
      <c r="X137" s="2"/>
      <c r="Y137" s="2" t="s">
        <v>48</v>
      </c>
      <c r="Z137" s="3" t="s">
        <v>1172</v>
      </c>
      <c r="AA137" s="2" t="s">
        <v>40</v>
      </c>
      <c r="AB137" s="2" t="s">
        <v>50</v>
      </c>
      <c r="AC137" s="2" t="n">
        <v>0</v>
      </c>
      <c r="AD137" s="2" t="n">
        <v>873</v>
      </c>
      <c r="AE137" s="2" t="n">
        <v>0</v>
      </c>
      <c r="AF137" s="2"/>
      <c r="AG137" s="2" t="s">
        <v>1173</v>
      </c>
      <c r="AH137" s="2" t="s">
        <v>1174</v>
      </c>
      <c r="AI137" s="2" t="n">
        <v>0</v>
      </c>
    </row>
    <row r="138" customFormat="false" ht="15" hidden="false" customHeight="false" outlineLevel="0" collapsed="false">
      <c r="A138" s="2" t="n">
        <v>90816</v>
      </c>
      <c r="B138" s="2" t="s">
        <v>1175</v>
      </c>
      <c r="C138" s="2"/>
      <c r="D138" s="2" t="s">
        <v>1176</v>
      </c>
      <c r="E138" s="2" t="s">
        <v>37</v>
      </c>
      <c r="F138" s="2" t="s">
        <v>118</v>
      </c>
      <c r="G138" s="2" t="s">
        <v>39</v>
      </c>
      <c r="H138" s="2" t="s">
        <v>40</v>
      </c>
      <c r="I138" s="2" t="s">
        <v>40</v>
      </c>
      <c r="J138" s="2" t="s">
        <v>97</v>
      </c>
      <c r="K138" s="2" t="s">
        <v>78</v>
      </c>
      <c r="L138" s="2" t="s">
        <v>43</v>
      </c>
      <c r="M138" s="2" t="s">
        <v>44</v>
      </c>
      <c r="N138" s="2"/>
      <c r="O138" s="2" t="n">
        <v>7.882842</v>
      </c>
      <c r="P138" s="2" t="n">
        <v>98.390913</v>
      </c>
      <c r="Q138" s="2"/>
      <c r="R138" s="2" t="s">
        <v>1177</v>
      </c>
      <c r="S138" s="2"/>
      <c r="T138" s="2"/>
      <c r="U138" s="2" t="s">
        <v>1178</v>
      </c>
      <c r="V138" s="2"/>
      <c r="W138" s="2" t="s">
        <v>485</v>
      </c>
      <c r="X138" s="2"/>
      <c r="Y138" s="2" t="s">
        <v>48</v>
      </c>
      <c r="Z138" s="3" t="s">
        <v>1179</v>
      </c>
      <c r="AA138" s="2" t="s">
        <v>40</v>
      </c>
      <c r="AB138" s="2" t="s">
        <v>50</v>
      </c>
      <c r="AC138" s="2" t="n">
        <v>0</v>
      </c>
      <c r="AD138" s="2" t="n">
        <v>769</v>
      </c>
      <c r="AE138" s="2" t="n">
        <v>1</v>
      </c>
      <c r="AF138" s="2"/>
      <c r="AG138" s="2" t="s">
        <v>1180</v>
      </c>
      <c r="AH138" s="2" t="s">
        <v>1181</v>
      </c>
      <c r="AI138" s="2" t="n">
        <v>0</v>
      </c>
    </row>
    <row r="139" customFormat="false" ht="15" hidden="false" customHeight="false" outlineLevel="0" collapsed="false">
      <c r="A139" s="2" t="n">
        <v>90920</v>
      </c>
      <c r="B139" s="2" t="s">
        <v>1182</v>
      </c>
      <c r="C139" s="2"/>
      <c r="D139" s="2" t="s">
        <v>1183</v>
      </c>
      <c r="E139" s="2" t="s">
        <v>55</v>
      </c>
      <c r="F139" s="2" t="s">
        <v>129</v>
      </c>
      <c r="G139" s="2" t="s">
        <v>39</v>
      </c>
      <c r="H139" s="2" t="s">
        <v>40</v>
      </c>
      <c r="I139" s="2" t="s">
        <v>40</v>
      </c>
      <c r="J139" s="2" t="s">
        <v>1184</v>
      </c>
      <c r="K139" s="2" t="s">
        <v>78</v>
      </c>
      <c r="L139" s="2" t="s">
        <v>43</v>
      </c>
      <c r="M139" s="2" t="s">
        <v>44</v>
      </c>
      <c r="N139" s="2"/>
      <c r="O139" s="2" t="n">
        <v>7.8058229</v>
      </c>
      <c r="P139" s="2" t="n">
        <v>98.4103551</v>
      </c>
      <c r="Q139" s="2" t="s">
        <v>1185</v>
      </c>
      <c r="R139" s="2"/>
      <c r="S139" s="2"/>
      <c r="T139" s="2"/>
      <c r="U139" s="2" t="s">
        <v>1186</v>
      </c>
      <c r="V139" s="2"/>
      <c r="W139" s="2" t="s">
        <v>1187</v>
      </c>
      <c r="X139" s="2"/>
      <c r="Y139" s="2" t="s">
        <v>48</v>
      </c>
      <c r="Z139" s="3" t="s">
        <v>1188</v>
      </c>
      <c r="AA139" s="2" t="s">
        <v>40</v>
      </c>
      <c r="AB139" s="2" t="s">
        <v>50</v>
      </c>
      <c r="AC139" s="2" t="n">
        <v>0</v>
      </c>
      <c r="AD139" s="2" t="n">
        <v>559</v>
      </c>
      <c r="AE139" s="2" t="n">
        <v>0</v>
      </c>
      <c r="AF139" s="2"/>
      <c r="AG139" s="2" t="s">
        <v>1189</v>
      </c>
      <c r="AH139" s="2" t="s">
        <v>1190</v>
      </c>
      <c r="AI139" s="2" t="n">
        <v>0</v>
      </c>
    </row>
    <row r="140" customFormat="false" ht="15" hidden="false" customHeight="false" outlineLevel="0" collapsed="false">
      <c r="A140" s="2" t="n">
        <v>91346</v>
      </c>
      <c r="B140" s="2" t="s">
        <v>1191</v>
      </c>
      <c r="C140" s="2"/>
      <c r="D140" s="2" t="s">
        <v>184</v>
      </c>
      <c r="E140" s="2" t="s">
        <v>117</v>
      </c>
      <c r="F140" s="2" t="s">
        <v>38</v>
      </c>
      <c r="G140" s="2" t="s">
        <v>39</v>
      </c>
      <c r="H140" s="2" t="s">
        <v>40</v>
      </c>
      <c r="I140" s="2" t="s">
        <v>40</v>
      </c>
      <c r="J140" s="2" t="s">
        <v>1192</v>
      </c>
      <c r="K140" s="2" t="s">
        <v>109</v>
      </c>
      <c r="L140" s="2" t="s">
        <v>109</v>
      </c>
      <c r="M140" s="2" t="s">
        <v>44</v>
      </c>
      <c r="N140" s="2"/>
      <c r="O140" s="2" t="n">
        <v>7.9145851</v>
      </c>
      <c r="P140" s="2" t="n">
        <v>98.3468547</v>
      </c>
      <c r="Q140" s="2"/>
      <c r="R140" s="2" t="s">
        <v>1193</v>
      </c>
      <c r="S140" s="2"/>
      <c r="T140" s="2"/>
      <c r="U140" s="2" t="s">
        <v>1194</v>
      </c>
      <c r="V140" s="2"/>
      <c r="W140" s="2" t="s">
        <v>1195</v>
      </c>
      <c r="X140" s="2"/>
      <c r="Y140" s="2" t="s">
        <v>48</v>
      </c>
      <c r="Z140" s="3" t="s">
        <v>1196</v>
      </c>
      <c r="AA140" s="2" t="s">
        <v>40</v>
      </c>
      <c r="AB140" s="2" t="s">
        <v>50</v>
      </c>
      <c r="AC140" s="2" t="n">
        <v>0</v>
      </c>
      <c r="AD140" s="2" t="n">
        <v>754</v>
      </c>
      <c r="AE140" s="2" t="n">
        <v>1</v>
      </c>
      <c r="AF140" s="2"/>
      <c r="AG140" s="2" t="s">
        <v>1197</v>
      </c>
      <c r="AH140" s="2" t="s">
        <v>1198</v>
      </c>
      <c r="AI140" s="2" t="n">
        <v>0</v>
      </c>
    </row>
    <row r="141" customFormat="false" ht="15" hidden="false" customHeight="false" outlineLevel="0" collapsed="false">
      <c r="A141" s="2" t="n">
        <v>91801</v>
      </c>
      <c r="B141" s="2" t="s">
        <v>1199</v>
      </c>
      <c r="C141" s="2"/>
      <c r="D141" s="2" t="s">
        <v>1200</v>
      </c>
      <c r="E141" s="2" t="s">
        <v>37</v>
      </c>
      <c r="F141" s="2" t="s">
        <v>38</v>
      </c>
      <c r="G141" s="2" t="s">
        <v>39</v>
      </c>
      <c r="H141" s="2" t="s">
        <v>40</v>
      </c>
      <c r="I141" s="2" t="s">
        <v>40</v>
      </c>
      <c r="J141" s="2" t="s">
        <v>879</v>
      </c>
      <c r="K141" s="2" t="s">
        <v>42</v>
      </c>
      <c r="L141" s="2" t="s">
        <v>43</v>
      </c>
      <c r="M141" s="2" t="s">
        <v>44</v>
      </c>
      <c r="N141" s="2"/>
      <c r="O141" s="2" t="n">
        <v>7.888091</v>
      </c>
      <c r="P141" s="2" t="n">
        <v>98.387018</v>
      </c>
      <c r="Q141" s="2"/>
      <c r="R141" s="2" t="s">
        <v>1201</v>
      </c>
      <c r="S141" s="2"/>
      <c r="T141" s="2"/>
      <c r="U141" s="2" t="s">
        <v>1202</v>
      </c>
      <c r="V141" s="2"/>
      <c r="W141" s="2" t="s">
        <v>1203</v>
      </c>
      <c r="X141" s="2"/>
      <c r="Y141" s="2" t="s">
        <v>48</v>
      </c>
      <c r="Z141" s="3" t="s">
        <v>1204</v>
      </c>
      <c r="AA141" s="2" t="s">
        <v>40</v>
      </c>
      <c r="AB141" s="2" t="s">
        <v>50</v>
      </c>
      <c r="AC141" s="2" t="n">
        <v>0</v>
      </c>
      <c r="AD141" s="2" t="n">
        <v>595</v>
      </c>
      <c r="AE141" s="2" t="n">
        <v>0</v>
      </c>
      <c r="AF141" s="2"/>
      <c r="AG141" s="2" t="s">
        <v>1205</v>
      </c>
      <c r="AH141" s="2" t="s">
        <v>1206</v>
      </c>
      <c r="AI141" s="2" t="n">
        <v>0</v>
      </c>
    </row>
    <row r="142" customFormat="false" ht="15" hidden="false" customHeight="false" outlineLevel="0" collapsed="false">
      <c r="A142" s="2" t="n">
        <v>92119</v>
      </c>
      <c r="B142" s="2" t="s">
        <v>1207</v>
      </c>
      <c r="C142" s="2"/>
      <c r="D142" s="2" t="s">
        <v>1208</v>
      </c>
      <c r="E142" s="2" t="s">
        <v>37</v>
      </c>
      <c r="F142" s="2" t="s">
        <v>38</v>
      </c>
      <c r="G142" s="2" t="s">
        <v>39</v>
      </c>
      <c r="H142" s="2" t="s">
        <v>40</v>
      </c>
      <c r="I142" s="2" t="s">
        <v>40</v>
      </c>
      <c r="J142" s="2" t="s">
        <v>1209</v>
      </c>
      <c r="K142" s="2" t="s">
        <v>68</v>
      </c>
      <c r="L142" s="2" t="s">
        <v>43</v>
      </c>
      <c r="M142" s="2" t="s">
        <v>44</v>
      </c>
      <c r="N142" s="2"/>
      <c r="O142" s="2" t="n">
        <v>7.881869</v>
      </c>
      <c r="P142" s="2" t="n">
        <v>98.392564</v>
      </c>
      <c r="Q142" s="2" t="s">
        <v>1210</v>
      </c>
      <c r="R142" s="2"/>
      <c r="S142" s="2"/>
      <c r="T142" s="2"/>
      <c r="U142" s="2" t="s">
        <v>1211</v>
      </c>
      <c r="V142" s="2"/>
      <c r="W142" s="2" t="s">
        <v>1155</v>
      </c>
      <c r="X142" s="2"/>
      <c r="Y142" s="2" t="s">
        <v>48</v>
      </c>
      <c r="Z142" s="3" t="s">
        <v>1212</v>
      </c>
      <c r="AA142" s="2" t="s">
        <v>40</v>
      </c>
      <c r="AB142" s="2" t="s">
        <v>50</v>
      </c>
      <c r="AC142" s="2" t="n">
        <v>0</v>
      </c>
      <c r="AD142" s="2" t="n">
        <v>597</v>
      </c>
      <c r="AE142" s="2" t="n">
        <v>0</v>
      </c>
      <c r="AF142" s="2"/>
      <c r="AG142" s="2" t="s">
        <v>1213</v>
      </c>
      <c r="AH142" s="2" t="s">
        <v>1214</v>
      </c>
      <c r="AI142" s="2" t="n">
        <v>0</v>
      </c>
    </row>
    <row r="143" customFormat="false" ht="15" hidden="false" customHeight="false" outlineLevel="0" collapsed="false">
      <c r="A143" s="2" t="n">
        <v>91436</v>
      </c>
      <c r="B143" s="2" t="s">
        <v>1215</v>
      </c>
      <c r="C143" s="2"/>
      <c r="D143" s="2" t="s">
        <v>726</v>
      </c>
      <c r="E143" s="2" t="s">
        <v>55</v>
      </c>
      <c r="F143" s="2" t="s">
        <v>106</v>
      </c>
      <c r="G143" s="2" t="s">
        <v>39</v>
      </c>
      <c r="H143" s="2" t="s">
        <v>40</v>
      </c>
      <c r="I143" s="2" t="s">
        <v>40</v>
      </c>
      <c r="J143" s="2" t="s">
        <v>1216</v>
      </c>
      <c r="K143" s="2" t="s">
        <v>474</v>
      </c>
      <c r="L143" s="2" t="s">
        <v>43</v>
      </c>
      <c r="M143" s="2" t="s">
        <v>44</v>
      </c>
      <c r="N143" s="2"/>
      <c r="O143" s="2" t="n">
        <v>7.839624</v>
      </c>
      <c r="P143" s="2" t="n">
        <v>98.366808</v>
      </c>
      <c r="Q143" s="2" t="s">
        <v>1217</v>
      </c>
      <c r="R143" s="2"/>
      <c r="S143" s="2"/>
      <c r="T143" s="2"/>
      <c r="U143" s="2" t="s">
        <v>1218</v>
      </c>
      <c r="V143" s="2"/>
      <c r="W143" s="2" t="s">
        <v>292</v>
      </c>
      <c r="X143" s="2"/>
      <c r="Y143" s="2" t="s">
        <v>48</v>
      </c>
      <c r="Z143" s="3" t="s">
        <v>1219</v>
      </c>
      <c r="AA143" s="2" t="s">
        <v>40</v>
      </c>
      <c r="AB143" s="2" t="s">
        <v>50</v>
      </c>
      <c r="AC143" s="2" t="n">
        <v>0</v>
      </c>
      <c r="AD143" s="2" t="n">
        <v>670</v>
      </c>
      <c r="AE143" s="2" t="n">
        <v>1</v>
      </c>
      <c r="AF143" s="2"/>
      <c r="AG143" s="2" t="s">
        <v>1220</v>
      </c>
      <c r="AH143" s="2" t="s">
        <v>1221</v>
      </c>
      <c r="AI143" s="2" t="n">
        <v>0</v>
      </c>
    </row>
    <row r="144" customFormat="false" ht="15" hidden="false" customHeight="false" outlineLevel="0" collapsed="false">
      <c r="A144" s="2" t="n">
        <v>91340</v>
      </c>
      <c r="B144" s="2" t="s">
        <v>1222</v>
      </c>
      <c r="C144" s="2"/>
      <c r="D144" s="2" t="s">
        <v>670</v>
      </c>
      <c r="E144" s="2" t="s">
        <v>37</v>
      </c>
      <c r="F144" s="2" t="s">
        <v>38</v>
      </c>
      <c r="G144" s="2" t="s">
        <v>39</v>
      </c>
      <c r="H144" s="2" t="s">
        <v>40</v>
      </c>
      <c r="I144" s="2" t="s">
        <v>40</v>
      </c>
      <c r="J144" s="2" t="s">
        <v>1223</v>
      </c>
      <c r="K144" s="2" t="s">
        <v>68</v>
      </c>
      <c r="L144" s="2" t="s">
        <v>43</v>
      </c>
      <c r="M144" s="2" t="s">
        <v>44</v>
      </c>
      <c r="N144" s="2"/>
      <c r="O144" s="2" t="n">
        <v>7.88371</v>
      </c>
      <c r="P144" s="2" t="n">
        <v>98.390666</v>
      </c>
      <c r="Q144" s="2"/>
      <c r="R144" s="2" t="s">
        <v>1224</v>
      </c>
      <c r="S144" s="2"/>
      <c r="T144" s="2"/>
      <c r="U144" s="2" t="s">
        <v>1225</v>
      </c>
      <c r="V144" s="2"/>
      <c r="W144" s="2" t="s">
        <v>1226</v>
      </c>
      <c r="X144" s="2"/>
      <c r="Y144" s="2" t="s">
        <v>48</v>
      </c>
      <c r="Z144" s="3" t="s">
        <v>1227</v>
      </c>
      <c r="AA144" s="2" t="s">
        <v>40</v>
      </c>
      <c r="AB144" s="2" t="s">
        <v>50</v>
      </c>
      <c r="AC144" s="2" t="n">
        <v>0</v>
      </c>
      <c r="AD144" s="2" t="n">
        <v>571</v>
      </c>
      <c r="AE144" s="2" t="n">
        <v>1</v>
      </c>
      <c r="AF144" s="2"/>
      <c r="AG144" s="2" t="s">
        <v>1228</v>
      </c>
      <c r="AH144" s="2" t="s">
        <v>1229</v>
      </c>
      <c r="AI144" s="2" t="n">
        <v>0</v>
      </c>
    </row>
    <row r="145" customFormat="false" ht="15" hidden="false" customHeight="false" outlineLevel="0" collapsed="false">
      <c r="A145" s="2" t="n">
        <v>90817</v>
      </c>
      <c r="B145" s="2" t="s">
        <v>1230</v>
      </c>
      <c r="C145" s="2"/>
      <c r="D145" s="2" t="s">
        <v>481</v>
      </c>
      <c r="E145" s="2" t="s">
        <v>37</v>
      </c>
      <c r="F145" s="2" t="s">
        <v>38</v>
      </c>
      <c r="G145" s="2" t="s">
        <v>39</v>
      </c>
      <c r="H145" s="2" t="s">
        <v>40</v>
      </c>
      <c r="I145" s="2" t="s">
        <v>40</v>
      </c>
      <c r="J145" s="2" t="s">
        <v>1231</v>
      </c>
      <c r="K145" s="2" t="s">
        <v>68</v>
      </c>
      <c r="L145" s="2" t="s">
        <v>43</v>
      </c>
      <c r="M145" s="2" t="s">
        <v>44</v>
      </c>
      <c r="N145" s="2"/>
      <c r="O145" s="2" t="n">
        <v>7.868054</v>
      </c>
      <c r="P145" s="2" t="n">
        <v>98.396183</v>
      </c>
      <c r="Q145" s="2"/>
      <c r="R145" s="2" t="s">
        <v>1232</v>
      </c>
      <c r="S145" s="2"/>
      <c r="T145" s="2"/>
      <c r="U145" s="2" t="s">
        <v>1233</v>
      </c>
      <c r="V145" s="2"/>
      <c r="W145" s="2" t="s">
        <v>249</v>
      </c>
      <c r="X145" s="2"/>
      <c r="Y145" s="2" t="s">
        <v>48</v>
      </c>
      <c r="Z145" s="3" t="s">
        <v>1234</v>
      </c>
      <c r="AA145" s="2" t="s">
        <v>40</v>
      </c>
      <c r="AB145" s="2" t="s">
        <v>50</v>
      </c>
      <c r="AC145" s="2" t="n">
        <v>0</v>
      </c>
      <c r="AD145" s="2" t="n">
        <v>742</v>
      </c>
      <c r="AE145" s="2" t="n">
        <v>0</v>
      </c>
      <c r="AF145" s="2"/>
      <c r="AG145" s="2" t="s">
        <v>1235</v>
      </c>
      <c r="AH145" s="2" t="s">
        <v>1236</v>
      </c>
      <c r="AI145" s="2" t="n">
        <v>0</v>
      </c>
    </row>
    <row r="146" customFormat="false" ht="15" hidden="false" customHeight="false" outlineLevel="0" collapsed="false">
      <c r="A146" s="2" t="n">
        <v>91477</v>
      </c>
      <c r="B146" s="2" t="s">
        <v>1237</v>
      </c>
      <c r="C146" s="2"/>
      <c r="D146" s="2" t="s">
        <v>1238</v>
      </c>
      <c r="E146" s="2" t="s">
        <v>37</v>
      </c>
      <c r="F146" s="2" t="s">
        <v>38</v>
      </c>
      <c r="G146" s="2" t="s">
        <v>39</v>
      </c>
      <c r="H146" s="2" t="s">
        <v>40</v>
      </c>
      <c r="I146" s="2" t="s">
        <v>40</v>
      </c>
      <c r="J146" s="2" t="s">
        <v>782</v>
      </c>
      <c r="K146" s="2" t="s">
        <v>474</v>
      </c>
      <c r="L146" s="2" t="s">
        <v>43</v>
      </c>
      <c r="M146" s="2" t="s">
        <v>44</v>
      </c>
      <c r="N146" s="2"/>
      <c r="O146" s="2" t="n">
        <v>7.857823</v>
      </c>
      <c r="P146" s="2" t="n">
        <v>98.358079</v>
      </c>
      <c r="Q146" s="2"/>
      <c r="R146" s="2" t="s">
        <v>1239</v>
      </c>
      <c r="S146" s="2"/>
      <c r="T146" s="2"/>
      <c r="U146" s="2" t="s">
        <v>1240</v>
      </c>
      <c r="V146" s="2"/>
      <c r="W146" s="2" t="s">
        <v>1241</v>
      </c>
      <c r="X146" s="2"/>
      <c r="Y146" s="2" t="s">
        <v>48</v>
      </c>
      <c r="Z146" s="3" t="s">
        <v>1242</v>
      </c>
      <c r="AA146" s="2" t="s">
        <v>40</v>
      </c>
      <c r="AB146" s="2" t="s">
        <v>50</v>
      </c>
      <c r="AC146" s="2" t="n">
        <v>0</v>
      </c>
      <c r="AD146" s="2" t="n">
        <v>792</v>
      </c>
      <c r="AE146" s="2" t="n">
        <v>0</v>
      </c>
      <c r="AF146" s="2"/>
      <c r="AG146" s="2" t="s">
        <v>1243</v>
      </c>
      <c r="AH146" s="2" t="s">
        <v>1244</v>
      </c>
      <c r="AI146" s="2" t="n">
        <v>0</v>
      </c>
    </row>
    <row r="147" customFormat="false" ht="15" hidden="false" customHeight="false" outlineLevel="0" collapsed="false">
      <c r="A147" s="2" t="n">
        <v>90874</v>
      </c>
      <c r="B147" s="2" t="s">
        <v>1245</v>
      </c>
      <c r="C147" s="2"/>
      <c r="D147" s="2" t="s">
        <v>1246</v>
      </c>
      <c r="E147" s="2" t="s">
        <v>55</v>
      </c>
      <c r="F147" s="2" t="s">
        <v>106</v>
      </c>
      <c r="G147" s="2" t="s">
        <v>39</v>
      </c>
      <c r="H147" s="2" t="s">
        <v>40</v>
      </c>
      <c r="I147" s="2" t="s">
        <v>40</v>
      </c>
      <c r="J147" s="2" t="s">
        <v>1247</v>
      </c>
      <c r="K147" s="2" t="s">
        <v>68</v>
      </c>
      <c r="L147" s="2" t="s">
        <v>43</v>
      </c>
      <c r="M147" s="2" t="s">
        <v>44</v>
      </c>
      <c r="N147" s="2"/>
      <c r="O147" s="2" t="n">
        <v>7.8863803</v>
      </c>
      <c r="P147" s="2" t="n">
        <v>98.391895</v>
      </c>
      <c r="Q147" s="2"/>
      <c r="R147" s="2" t="s">
        <v>1248</v>
      </c>
      <c r="S147" s="2"/>
      <c r="T147" s="2"/>
      <c r="U147" s="2" t="s">
        <v>1249</v>
      </c>
      <c r="V147" s="2"/>
      <c r="W147" s="2" t="s">
        <v>635</v>
      </c>
      <c r="X147" s="2"/>
      <c r="Y147" s="2" t="s">
        <v>48</v>
      </c>
      <c r="Z147" s="3" t="s">
        <v>1250</v>
      </c>
      <c r="AA147" s="2" t="s">
        <v>40</v>
      </c>
      <c r="AB147" s="2" t="s">
        <v>50</v>
      </c>
      <c r="AC147" s="2" t="n">
        <v>0</v>
      </c>
      <c r="AD147" s="2" t="n">
        <v>736</v>
      </c>
      <c r="AE147" s="2" t="n">
        <v>1</v>
      </c>
      <c r="AF147" s="2"/>
      <c r="AG147" s="2" t="s">
        <v>1251</v>
      </c>
      <c r="AH147" s="2" t="s">
        <v>1252</v>
      </c>
      <c r="AI147" s="2" t="n">
        <v>0</v>
      </c>
    </row>
    <row r="148" customFormat="false" ht="15" hidden="false" customHeight="false" outlineLevel="0" collapsed="false">
      <c r="A148" s="2" t="n">
        <v>91778</v>
      </c>
      <c r="B148" s="2" t="s">
        <v>1253</v>
      </c>
      <c r="C148" s="2"/>
      <c r="D148" s="2" t="s">
        <v>894</v>
      </c>
      <c r="E148" s="2" t="s">
        <v>37</v>
      </c>
      <c r="F148" s="2" t="s">
        <v>38</v>
      </c>
      <c r="G148" s="2" t="s">
        <v>39</v>
      </c>
      <c r="H148" s="2" t="s">
        <v>40</v>
      </c>
      <c r="I148" s="2" t="s">
        <v>40</v>
      </c>
      <c r="J148" s="2" t="s">
        <v>1254</v>
      </c>
      <c r="K148" s="2" t="s">
        <v>474</v>
      </c>
      <c r="L148" s="2" t="s">
        <v>43</v>
      </c>
      <c r="M148" s="2" t="s">
        <v>44</v>
      </c>
      <c r="N148" s="2"/>
      <c r="O148" s="2" t="n">
        <v>7.8241364</v>
      </c>
      <c r="P148" s="2" t="n">
        <v>98.3434252</v>
      </c>
      <c r="Q148" s="2" t="s">
        <v>1255</v>
      </c>
      <c r="R148" s="2"/>
      <c r="S148" s="2"/>
      <c r="T148" s="2"/>
      <c r="U148" s="2" t="s">
        <v>1256</v>
      </c>
      <c r="V148" s="2"/>
      <c r="W148" s="2" t="s">
        <v>1257</v>
      </c>
      <c r="X148" s="2"/>
      <c r="Y148" s="2" t="s">
        <v>48</v>
      </c>
      <c r="Z148" s="3" t="s">
        <v>1258</v>
      </c>
      <c r="AA148" s="2" t="s">
        <v>40</v>
      </c>
      <c r="AB148" s="2" t="s">
        <v>50</v>
      </c>
      <c r="AC148" s="2" t="n">
        <v>0</v>
      </c>
      <c r="AD148" s="2" t="n">
        <v>680</v>
      </c>
      <c r="AE148" s="2" t="n">
        <v>0</v>
      </c>
      <c r="AF148" s="2"/>
      <c r="AG148" s="2" t="s">
        <v>1259</v>
      </c>
      <c r="AH148" s="2" t="s">
        <v>1260</v>
      </c>
      <c r="AI148" s="2" t="n">
        <v>0</v>
      </c>
    </row>
    <row r="149" customFormat="false" ht="15" hidden="false" customHeight="false" outlineLevel="0" collapsed="false">
      <c r="A149" s="2" t="n">
        <v>92082</v>
      </c>
      <c r="B149" s="2" t="s">
        <v>1261</v>
      </c>
      <c r="C149" s="2"/>
      <c r="D149" s="2" t="s">
        <v>104</v>
      </c>
      <c r="E149" s="2" t="s">
        <v>279</v>
      </c>
      <c r="F149" s="2" t="s">
        <v>106</v>
      </c>
      <c r="G149" s="2" t="s">
        <v>39</v>
      </c>
      <c r="H149" s="2" t="s">
        <v>40</v>
      </c>
      <c r="I149" s="2" t="s">
        <v>40</v>
      </c>
      <c r="J149" s="2" t="s">
        <v>1262</v>
      </c>
      <c r="K149" s="2" t="s">
        <v>1263</v>
      </c>
      <c r="L149" s="2" t="s">
        <v>109</v>
      </c>
      <c r="M149" s="2" t="s">
        <v>44</v>
      </c>
      <c r="N149" s="2"/>
      <c r="O149" s="2" t="n">
        <v>7.9496743</v>
      </c>
      <c r="P149" s="2" t="n">
        <v>98.2742656</v>
      </c>
      <c r="Q149" s="2" t="s">
        <v>1264</v>
      </c>
      <c r="R149" s="2"/>
      <c r="S149" s="2"/>
      <c r="T149" s="2"/>
      <c r="U149" s="2" t="s">
        <v>1265</v>
      </c>
      <c r="V149" s="2"/>
      <c r="W149" s="2" t="s">
        <v>1266</v>
      </c>
      <c r="X149" s="2"/>
      <c r="Y149" s="2" t="s">
        <v>48</v>
      </c>
      <c r="Z149" s="3" t="s">
        <v>1267</v>
      </c>
      <c r="AA149" s="2" t="s">
        <v>40</v>
      </c>
      <c r="AB149" s="2" t="s">
        <v>50</v>
      </c>
      <c r="AC149" s="2" t="n">
        <v>0</v>
      </c>
      <c r="AD149" s="2" t="n">
        <v>870</v>
      </c>
      <c r="AE149" s="2" t="n">
        <v>1</v>
      </c>
      <c r="AF149" s="2"/>
      <c r="AG149" s="2" t="s">
        <v>1268</v>
      </c>
      <c r="AH149" s="2" t="s">
        <v>1269</v>
      </c>
      <c r="AI149" s="2" t="n">
        <v>0</v>
      </c>
    </row>
    <row r="150" customFormat="false" ht="15" hidden="false" customHeight="false" outlineLevel="0" collapsed="false">
      <c r="A150" s="2" t="n">
        <v>91196</v>
      </c>
      <c r="B150" s="2" t="s">
        <v>1270</v>
      </c>
      <c r="C150" s="2"/>
      <c r="D150" s="2" t="s">
        <v>1271</v>
      </c>
      <c r="E150" s="2" t="s">
        <v>37</v>
      </c>
      <c r="F150" s="2" t="s">
        <v>38</v>
      </c>
      <c r="G150" s="2" t="s">
        <v>39</v>
      </c>
      <c r="H150" s="2" t="s">
        <v>40</v>
      </c>
      <c r="I150" s="2" t="s">
        <v>40</v>
      </c>
      <c r="J150" s="2" t="s">
        <v>1272</v>
      </c>
      <c r="K150" s="2" t="s">
        <v>42</v>
      </c>
      <c r="L150" s="2" t="s">
        <v>43</v>
      </c>
      <c r="M150" s="2" t="s">
        <v>44</v>
      </c>
      <c r="N150" s="2"/>
      <c r="O150" s="2" t="n">
        <v>7.880175</v>
      </c>
      <c r="P150" s="2" t="n">
        <v>98.3851123</v>
      </c>
      <c r="Q150" s="2"/>
      <c r="R150" s="2" t="s">
        <v>1273</v>
      </c>
      <c r="S150" s="2"/>
      <c r="T150" s="2"/>
      <c r="U150" s="2" t="s">
        <v>1274</v>
      </c>
      <c r="V150" s="2"/>
      <c r="W150" s="2" t="s">
        <v>1275</v>
      </c>
      <c r="X150" s="2"/>
      <c r="Y150" s="2" t="s">
        <v>48</v>
      </c>
      <c r="Z150" s="3" t="s">
        <v>1276</v>
      </c>
      <c r="AA150" s="2" t="s">
        <v>40</v>
      </c>
      <c r="AB150" s="2" t="s">
        <v>50</v>
      </c>
      <c r="AC150" s="2" t="n">
        <v>0</v>
      </c>
      <c r="AD150" s="2" t="n">
        <v>667</v>
      </c>
      <c r="AE150" s="2" t="n">
        <v>1</v>
      </c>
      <c r="AF150" s="2"/>
      <c r="AG150" s="2" t="s">
        <v>1277</v>
      </c>
      <c r="AH150" s="2" t="s">
        <v>1278</v>
      </c>
      <c r="AI150" s="2" t="n">
        <v>0</v>
      </c>
    </row>
    <row r="151" customFormat="false" ht="15" hidden="false" customHeight="false" outlineLevel="0" collapsed="false">
      <c r="A151" s="2" t="n">
        <v>90864</v>
      </c>
      <c r="B151" s="2" t="s">
        <v>1279</v>
      </c>
      <c r="C151" s="2"/>
      <c r="D151" s="2" t="s">
        <v>1280</v>
      </c>
      <c r="E151" s="2" t="s">
        <v>37</v>
      </c>
      <c r="F151" s="2" t="s">
        <v>38</v>
      </c>
      <c r="G151" s="2" t="s">
        <v>39</v>
      </c>
      <c r="H151" s="2" t="s">
        <v>40</v>
      </c>
      <c r="I151" s="2" t="s">
        <v>40</v>
      </c>
      <c r="J151" s="2" t="s">
        <v>1281</v>
      </c>
      <c r="K151" s="2" t="s">
        <v>68</v>
      </c>
      <c r="L151" s="2" t="s">
        <v>43</v>
      </c>
      <c r="M151" s="2" t="s">
        <v>44</v>
      </c>
      <c r="N151" s="2"/>
      <c r="O151" s="2" t="n">
        <v>7.8826946</v>
      </c>
      <c r="P151" s="2" t="n">
        <v>98.3907446</v>
      </c>
      <c r="Q151" s="2"/>
      <c r="R151" s="2" t="s">
        <v>1282</v>
      </c>
      <c r="S151" s="2"/>
      <c r="T151" s="2"/>
      <c r="U151" s="2" t="s">
        <v>1283</v>
      </c>
      <c r="V151" s="2"/>
      <c r="W151" s="2" t="s">
        <v>161</v>
      </c>
      <c r="X151" s="2"/>
      <c r="Y151" s="2" t="s">
        <v>48</v>
      </c>
      <c r="Z151" s="3" t="s">
        <v>1284</v>
      </c>
      <c r="AA151" s="2" t="s">
        <v>40</v>
      </c>
      <c r="AB151" s="2" t="s">
        <v>50</v>
      </c>
      <c r="AC151" s="2" t="n">
        <v>0</v>
      </c>
      <c r="AD151" s="2" t="n">
        <v>625</v>
      </c>
      <c r="AE151" s="2" t="n">
        <v>0</v>
      </c>
      <c r="AF151" s="2"/>
      <c r="AG151" s="2" t="s">
        <v>1285</v>
      </c>
      <c r="AH151" s="2" t="s">
        <v>1286</v>
      </c>
      <c r="AI151" s="2" t="n">
        <v>0</v>
      </c>
    </row>
    <row r="152" customFormat="false" ht="15" hidden="false" customHeight="false" outlineLevel="0" collapsed="false">
      <c r="A152" s="2" t="n">
        <v>91806</v>
      </c>
      <c r="B152" s="2" t="s">
        <v>1287</v>
      </c>
      <c r="C152" s="2"/>
      <c r="D152" s="2" t="s">
        <v>157</v>
      </c>
      <c r="E152" s="2" t="s">
        <v>37</v>
      </c>
      <c r="F152" s="2" t="s">
        <v>129</v>
      </c>
      <c r="G152" s="2" t="s">
        <v>39</v>
      </c>
      <c r="H152" s="2" t="s">
        <v>40</v>
      </c>
      <c r="I152" s="2" t="s">
        <v>40</v>
      </c>
      <c r="J152" s="2" t="s">
        <v>1288</v>
      </c>
      <c r="K152" s="2" t="s">
        <v>68</v>
      </c>
      <c r="L152" s="2" t="s">
        <v>43</v>
      </c>
      <c r="M152" s="2" t="s">
        <v>44</v>
      </c>
      <c r="N152" s="2"/>
      <c r="O152" s="2" t="n">
        <v>7.8839528</v>
      </c>
      <c r="P152" s="2" t="n">
        <v>98.3909939</v>
      </c>
      <c r="Q152" s="2"/>
      <c r="R152" s="2" t="s">
        <v>1289</v>
      </c>
      <c r="S152" s="2"/>
      <c r="T152" s="2"/>
      <c r="U152" s="2" t="s">
        <v>1290</v>
      </c>
      <c r="V152" s="2"/>
      <c r="W152" s="2" t="s">
        <v>1291</v>
      </c>
      <c r="X152" s="2"/>
      <c r="Y152" s="2" t="s">
        <v>48</v>
      </c>
      <c r="Z152" s="3" t="s">
        <v>1292</v>
      </c>
      <c r="AA152" s="2" t="s">
        <v>40</v>
      </c>
      <c r="AB152" s="2" t="s">
        <v>50</v>
      </c>
      <c r="AC152" s="2" t="n">
        <v>0</v>
      </c>
      <c r="AD152" s="2" t="n">
        <v>792</v>
      </c>
      <c r="AE152" s="2" t="n">
        <v>0</v>
      </c>
      <c r="AF152" s="2"/>
      <c r="AG152" s="2" t="s">
        <v>1293</v>
      </c>
      <c r="AH152" s="2" t="s">
        <v>1294</v>
      </c>
      <c r="AI152" s="2" t="n">
        <v>0</v>
      </c>
    </row>
    <row r="153" customFormat="false" ht="15" hidden="false" customHeight="false" outlineLevel="0" collapsed="false">
      <c r="A153" s="2" t="n">
        <v>90855</v>
      </c>
      <c r="B153" s="2" t="s">
        <v>1295</v>
      </c>
      <c r="C153" s="2"/>
      <c r="D153" s="2" t="s">
        <v>1296</v>
      </c>
      <c r="E153" s="2" t="s">
        <v>55</v>
      </c>
      <c r="F153" s="2" t="s">
        <v>106</v>
      </c>
      <c r="G153" s="2" t="s">
        <v>39</v>
      </c>
      <c r="H153" s="2" t="s">
        <v>40</v>
      </c>
      <c r="I153" s="2" t="s">
        <v>40</v>
      </c>
      <c r="J153" s="2" t="s">
        <v>1297</v>
      </c>
      <c r="K153" s="2" t="s">
        <v>88</v>
      </c>
      <c r="L153" s="2" t="s">
        <v>43</v>
      </c>
      <c r="M153" s="2" t="s">
        <v>44</v>
      </c>
      <c r="N153" s="2"/>
      <c r="O153" s="2" t="n">
        <v>7.7673634</v>
      </c>
      <c r="P153" s="2" t="n">
        <v>98.3171739</v>
      </c>
      <c r="Q153" s="2"/>
      <c r="R153" s="2" t="s">
        <v>1298</v>
      </c>
      <c r="S153" s="2"/>
      <c r="T153" s="2"/>
      <c r="U153" s="2" t="s">
        <v>1299</v>
      </c>
      <c r="V153" s="2"/>
      <c r="W153" s="2" t="s">
        <v>1300</v>
      </c>
      <c r="X153" s="2"/>
      <c r="Y153" s="2" t="s">
        <v>48</v>
      </c>
      <c r="Z153" s="3" t="s">
        <v>1301</v>
      </c>
      <c r="AA153" s="2" t="s">
        <v>40</v>
      </c>
      <c r="AB153" s="2" t="s">
        <v>50</v>
      </c>
      <c r="AC153" s="2" t="n">
        <v>0</v>
      </c>
      <c r="AD153" s="2" t="n">
        <v>792</v>
      </c>
      <c r="AE153" s="2" t="n">
        <v>1</v>
      </c>
      <c r="AF153" s="2"/>
      <c r="AG153" s="2" t="s">
        <v>1302</v>
      </c>
      <c r="AH153" s="2" t="s">
        <v>1303</v>
      </c>
      <c r="AI153" s="2" t="n">
        <v>0</v>
      </c>
    </row>
    <row r="154" customFormat="false" ht="15" hidden="false" customHeight="false" outlineLevel="0" collapsed="false">
      <c r="A154" s="2" t="n">
        <v>92952</v>
      </c>
      <c r="B154" s="2" t="s">
        <v>1304</v>
      </c>
      <c r="C154" s="2"/>
      <c r="D154" s="2" t="s">
        <v>1305</v>
      </c>
      <c r="E154" s="2" t="s">
        <v>55</v>
      </c>
      <c r="F154" s="2" t="s">
        <v>38</v>
      </c>
      <c r="G154" s="2" t="s">
        <v>39</v>
      </c>
      <c r="H154" s="2" t="s">
        <v>40</v>
      </c>
      <c r="I154" s="2" t="s">
        <v>40</v>
      </c>
      <c r="J154" s="2" t="s">
        <v>482</v>
      </c>
      <c r="K154" s="2" t="s">
        <v>399</v>
      </c>
      <c r="L154" s="2" t="s">
        <v>43</v>
      </c>
      <c r="M154" s="2" t="s">
        <v>44</v>
      </c>
      <c r="N154" s="2"/>
      <c r="O154" s="2" t="n">
        <v>7.813966</v>
      </c>
      <c r="P154" s="2" t="n">
        <v>98.298897</v>
      </c>
      <c r="Q154" s="2" t="s">
        <v>1306</v>
      </c>
      <c r="R154" s="2"/>
      <c r="S154" s="2"/>
      <c r="T154" s="2"/>
      <c r="U154" s="2" t="s">
        <v>1307</v>
      </c>
      <c r="V154" s="2"/>
      <c r="W154" s="2" t="s">
        <v>1308</v>
      </c>
      <c r="X154" s="2"/>
      <c r="Y154" s="2" t="s">
        <v>48</v>
      </c>
      <c r="Z154" s="3" t="s">
        <v>1309</v>
      </c>
      <c r="AA154" s="2" t="s">
        <v>40</v>
      </c>
      <c r="AB154" s="2" t="s">
        <v>50</v>
      </c>
      <c r="AC154" s="2" t="n">
        <v>0</v>
      </c>
      <c r="AD154" s="2" t="n">
        <v>732</v>
      </c>
      <c r="AE154" s="2" t="n">
        <v>1</v>
      </c>
      <c r="AF154" s="2"/>
      <c r="AG154" s="2" t="s">
        <v>1310</v>
      </c>
      <c r="AH154" s="2" t="s">
        <v>1311</v>
      </c>
      <c r="AI154" s="2" t="n">
        <v>0</v>
      </c>
    </row>
    <row r="155" customFormat="false" ht="15" hidden="false" customHeight="false" outlineLevel="0" collapsed="false">
      <c r="A155" s="2" t="n">
        <v>91475</v>
      </c>
      <c r="B155" s="2" t="s">
        <v>1312</v>
      </c>
      <c r="C155" s="2"/>
      <c r="D155" s="2" t="s">
        <v>1313</v>
      </c>
      <c r="E155" s="2" t="s">
        <v>37</v>
      </c>
      <c r="F155" s="2" t="s">
        <v>38</v>
      </c>
      <c r="G155" s="2" t="s">
        <v>39</v>
      </c>
      <c r="H155" s="2" t="s">
        <v>40</v>
      </c>
      <c r="I155" s="2" t="s">
        <v>40</v>
      </c>
      <c r="J155" s="2" t="s">
        <v>1314</v>
      </c>
      <c r="K155" s="2" t="s">
        <v>78</v>
      </c>
      <c r="L155" s="2" t="s">
        <v>43</v>
      </c>
      <c r="M155" s="2" t="s">
        <v>44</v>
      </c>
      <c r="N155" s="2"/>
      <c r="O155" s="2" t="n">
        <v>7.884715</v>
      </c>
      <c r="P155" s="2" t="n">
        <v>98.380222</v>
      </c>
      <c r="Q155" s="2" t="s">
        <v>1315</v>
      </c>
      <c r="R155" s="2"/>
      <c r="S155" s="2"/>
      <c r="T155" s="2"/>
      <c r="U155" s="2" t="s">
        <v>1316</v>
      </c>
      <c r="V155" s="2"/>
      <c r="W155" s="2" t="s">
        <v>1317</v>
      </c>
      <c r="X155" s="2"/>
      <c r="Y155" s="2" t="s">
        <v>48</v>
      </c>
      <c r="Z155" s="3" t="s">
        <v>1318</v>
      </c>
      <c r="AA155" s="2" t="s">
        <v>40</v>
      </c>
      <c r="AB155" s="2" t="s">
        <v>50</v>
      </c>
      <c r="AC155" s="2" t="n">
        <v>0</v>
      </c>
      <c r="AD155" s="2" t="n">
        <v>807</v>
      </c>
      <c r="AE155" s="2" t="n">
        <v>1</v>
      </c>
      <c r="AF155" s="2"/>
      <c r="AG155" s="2" t="s">
        <v>1319</v>
      </c>
      <c r="AH155" s="2" t="s">
        <v>1320</v>
      </c>
      <c r="AI155" s="2" t="n">
        <v>0</v>
      </c>
    </row>
    <row r="156" customFormat="false" ht="15" hidden="false" customHeight="false" outlineLevel="0" collapsed="false">
      <c r="A156" s="2" t="n">
        <v>91443</v>
      </c>
      <c r="B156" s="2" t="s">
        <v>1321</v>
      </c>
      <c r="C156" s="2"/>
      <c r="D156" s="2" t="s">
        <v>933</v>
      </c>
      <c r="E156" s="2" t="s">
        <v>117</v>
      </c>
      <c r="F156" s="2" t="s">
        <v>118</v>
      </c>
      <c r="G156" s="2" t="s">
        <v>39</v>
      </c>
      <c r="H156" s="2" t="s">
        <v>40</v>
      </c>
      <c r="I156" s="2" t="s">
        <v>40</v>
      </c>
      <c r="J156" s="2" t="s">
        <v>1322</v>
      </c>
      <c r="K156" s="2" t="s">
        <v>42</v>
      </c>
      <c r="L156" s="2" t="s">
        <v>43</v>
      </c>
      <c r="M156" s="2" t="s">
        <v>44</v>
      </c>
      <c r="N156" s="2"/>
      <c r="O156" s="2" t="n">
        <v>7.885692</v>
      </c>
      <c r="P156" s="2" t="n">
        <v>98.377133</v>
      </c>
      <c r="Q156" s="2"/>
      <c r="R156" s="2" t="s">
        <v>1323</v>
      </c>
      <c r="S156" s="2"/>
      <c r="T156" s="2"/>
      <c r="U156" s="2" t="s">
        <v>1324</v>
      </c>
      <c r="V156" s="2"/>
      <c r="W156" s="2" t="s">
        <v>249</v>
      </c>
      <c r="X156" s="2"/>
      <c r="Y156" s="2" t="s">
        <v>48</v>
      </c>
      <c r="Z156" s="3" t="s">
        <v>1325</v>
      </c>
      <c r="AA156" s="2" t="s">
        <v>40</v>
      </c>
      <c r="AB156" s="2" t="s">
        <v>50</v>
      </c>
      <c r="AC156" s="2" t="n">
        <v>0</v>
      </c>
      <c r="AD156" s="2" t="n">
        <v>843</v>
      </c>
      <c r="AE156" s="2" t="n">
        <v>1</v>
      </c>
      <c r="AF156" s="2"/>
      <c r="AG156" s="2" t="s">
        <v>1326</v>
      </c>
      <c r="AH156" s="2" t="s">
        <v>1327</v>
      </c>
      <c r="AI156" s="2" t="n">
        <v>0</v>
      </c>
    </row>
    <row r="157" customFormat="false" ht="15" hidden="false" customHeight="false" outlineLevel="0" collapsed="false">
      <c r="A157" s="2" t="n">
        <v>91931</v>
      </c>
      <c r="B157" s="2" t="s">
        <v>1328</v>
      </c>
      <c r="C157" s="2"/>
      <c r="D157" s="2" t="s">
        <v>933</v>
      </c>
      <c r="E157" s="2" t="s">
        <v>117</v>
      </c>
      <c r="F157" s="2" t="s">
        <v>38</v>
      </c>
      <c r="G157" s="2" t="s">
        <v>39</v>
      </c>
      <c r="H157" s="2" t="s">
        <v>40</v>
      </c>
      <c r="I157" s="2" t="s">
        <v>40</v>
      </c>
      <c r="J157" s="2" t="s">
        <v>200</v>
      </c>
      <c r="K157" s="2" t="s">
        <v>78</v>
      </c>
      <c r="L157" s="2" t="s">
        <v>43</v>
      </c>
      <c r="M157" s="2" t="s">
        <v>44</v>
      </c>
      <c r="N157" s="2"/>
      <c r="O157" s="2" t="n">
        <v>7.8900833</v>
      </c>
      <c r="P157" s="2" t="n">
        <v>98.3666545</v>
      </c>
      <c r="Q157" s="2"/>
      <c r="R157" s="2" t="s">
        <v>1329</v>
      </c>
      <c r="S157" s="2"/>
      <c r="T157" s="2"/>
      <c r="U157" s="2" t="s">
        <v>1330</v>
      </c>
      <c r="V157" s="2"/>
      <c r="W157" s="2" t="s">
        <v>593</v>
      </c>
      <c r="X157" s="2"/>
      <c r="Y157" s="2" t="s">
        <v>48</v>
      </c>
      <c r="Z157" s="3" t="s">
        <v>1331</v>
      </c>
      <c r="AA157" s="2" t="s">
        <v>40</v>
      </c>
      <c r="AB157" s="2" t="s">
        <v>50</v>
      </c>
      <c r="AC157" s="2" t="n">
        <v>0</v>
      </c>
      <c r="AD157" s="2" t="n">
        <v>784</v>
      </c>
      <c r="AE157" s="2" t="n">
        <v>0</v>
      </c>
      <c r="AF157" s="2"/>
      <c r="AG157" s="2" t="s">
        <v>1332</v>
      </c>
      <c r="AH157" s="2" t="s">
        <v>1333</v>
      </c>
      <c r="AI157" s="2" t="n">
        <v>0</v>
      </c>
    </row>
    <row r="158" customFormat="false" ht="15" hidden="false" customHeight="false" outlineLevel="0" collapsed="false">
      <c r="A158" s="2" t="n">
        <v>91455</v>
      </c>
      <c r="B158" s="2" t="s">
        <v>1334</v>
      </c>
      <c r="C158" s="2"/>
      <c r="D158" s="2" t="s">
        <v>116</v>
      </c>
      <c r="E158" s="2" t="s">
        <v>37</v>
      </c>
      <c r="F158" s="2" t="s">
        <v>118</v>
      </c>
      <c r="G158" s="2" t="s">
        <v>39</v>
      </c>
      <c r="H158" s="2" t="s">
        <v>40</v>
      </c>
      <c r="I158" s="2" t="s">
        <v>40</v>
      </c>
      <c r="J158" s="2" t="s">
        <v>1335</v>
      </c>
      <c r="K158" s="2" t="s">
        <v>42</v>
      </c>
      <c r="L158" s="2" t="s">
        <v>43</v>
      </c>
      <c r="M158" s="2" t="s">
        <v>44</v>
      </c>
      <c r="N158" s="2"/>
      <c r="O158" s="2" t="n">
        <v>7.884732</v>
      </c>
      <c r="P158" s="2" t="n">
        <v>98.387278</v>
      </c>
      <c r="Q158" s="2"/>
      <c r="R158" s="2" t="s">
        <v>1336</v>
      </c>
      <c r="S158" s="2"/>
      <c r="T158" s="2"/>
      <c r="U158" s="2" t="s">
        <v>1337</v>
      </c>
      <c r="V158" s="2"/>
      <c r="W158" s="2" t="s">
        <v>1338</v>
      </c>
      <c r="X158" s="2"/>
      <c r="Y158" s="2" t="s">
        <v>48</v>
      </c>
      <c r="Z158" s="3" t="s">
        <v>1339</v>
      </c>
      <c r="AA158" s="2" t="s">
        <v>40</v>
      </c>
      <c r="AB158" s="2" t="s">
        <v>50</v>
      </c>
      <c r="AC158" s="2" t="n">
        <v>0</v>
      </c>
      <c r="AD158" s="2" t="n">
        <v>588</v>
      </c>
      <c r="AE158" s="2" t="n">
        <v>0</v>
      </c>
      <c r="AF158" s="2"/>
      <c r="AG158" s="2" t="s">
        <v>1340</v>
      </c>
      <c r="AH158" s="2" t="s">
        <v>1341</v>
      </c>
      <c r="AI158" s="2" t="n">
        <v>0</v>
      </c>
    </row>
    <row r="159" customFormat="false" ht="15" hidden="false" customHeight="false" outlineLevel="0" collapsed="false">
      <c r="A159" s="2" t="n">
        <v>90922</v>
      </c>
      <c r="B159" s="2" t="s">
        <v>1342</v>
      </c>
      <c r="C159" s="2"/>
      <c r="D159" s="2" t="s">
        <v>687</v>
      </c>
      <c r="E159" s="2" t="s">
        <v>55</v>
      </c>
      <c r="F159" s="2" t="s">
        <v>237</v>
      </c>
      <c r="G159" s="2" t="s">
        <v>39</v>
      </c>
      <c r="H159" s="2" t="s">
        <v>40</v>
      </c>
      <c r="I159" s="2" t="s">
        <v>40</v>
      </c>
      <c r="J159" s="2" t="s">
        <v>482</v>
      </c>
      <c r="K159" s="2" t="s">
        <v>399</v>
      </c>
      <c r="L159" s="2" t="s">
        <v>43</v>
      </c>
      <c r="M159" s="2" t="s">
        <v>44</v>
      </c>
      <c r="N159" s="2"/>
      <c r="O159" s="2" t="n">
        <v>7.8118897</v>
      </c>
      <c r="P159" s="2" t="n">
        <v>98.3000454</v>
      </c>
      <c r="Q159" s="2" t="s">
        <v>1343</v>
      </c>
      <c r="R159" s="2"/>
      <c r="S159" s="2"/>
      <c r="T159" s="2"/>
      <c r="U159" s="2" t="s">
        <v>1344</v>
      </c>
      <c r="V159" s="2"/>
      <c r="W159" s="2" t="s">
        <v>385</v>
      </c>
      <c r="X159" s="2"/>
      <c r="Y159" s="2" t="s">
        <v>48</v>
      </c>
      <c r="Z159" s="3" t="s">
        <v>1345</v>
      </c>
      <c r="AA159" s="2" t="s">
        <v>40</v>
      </c>
      <c r="AB159" s="2" t="s">
        <v>50</v>
      </c>
      <c r="AC159" s="2" t="n">
        <v>0</v>
      </c>
      <c r="AD159" s="2" t="n">
        <v>580</v>
      </c>
      <c r="AE159" s="2" t="n">
        <v>0</v>
      </c>
      <c r="AF159" s="2"/>
      <c r="AG159" s="2" t="s">
        <v>1346</v>
      </c>
      <c r="AH159" s="2" t="s">
        <v>1347</v>
      </c>
      <c r="AI159" s="2" t="n">
        <v>0</v>
      </c>
    </row>
    <row r="160" customFormat="false" ht="15" hidden="false" customHeight="false" outlineLevel="0" collapsed="false">
      <c r="A160" s="2" t="n">
        <v>91298</v>
      </c>
      <c r="B160" s="2" t="s">
        <v>1348</v>
      </c>
      <c r="C160" s="2"/>
      <c r="D160" s="2" t="s">
        <v>262</v>
      </c>
      <c r="E160" s="2" t="s">
        <v>117</v>
      </c>
      <c r="F160" s="2" t="s">
        <v>118</v>
      </c>
      <c r="G160" s="2" t="s">
        <v>39</v>
      </c>
      <c r="H160" s="2" t="s">
        <v>40</v>
      </c>
      <c r="I160" s="2" t="s">
        <v>40</v>
      </c>
      <c r="J160" s="2" t="s">
        <v>774</v>
      </c>
      <c r="K160" s="2" t="s">
        <v>78</v>
      </c>
      <c r="L160" s="2" t="s">
        <v>43</v>
      </c>
      <c r="M160" s="2" t="s">
        <v>44</v>
      </c>
      <c r="N160" s="2"/>
      <c r="O160" s="2" t="n">
        <v>7.9069948</v>
      </c>
      <c r="P160" s="2" t="n">
        <v>98.3735893</v>
      </c>
      <c r="Q160" s="2"/>
      <c r="R160" s="2" t="s">
        <v>1349</v>
      </c>
      <c r="S160" s="2"/>
      <c r="T160" s="2"/>
      <c r="U160" s="2" t="s">
        <v>1350</v>
      </c>
      <c r="V160" s="2"/>
      <c r="W160" s="2" t="s">
        <v>1351</v>
      </c>
      <c r="X160" s="2"/>
      <c r="Y160" s="2" t="s">
        <v>48</v>
      </c>
      <c r="Z160" s="3" t="s">
        <v>1352</v>
      </c>
      <c r="AA160" s="2" t="s">
        <v>40</v>
      </c>
      <c r="AB160" s="2" t="s">
        <v>50</v>
      </c>
      <c r="AC160" s="2" t="n">
        <v>0</v>
      </c>
      <c r="AD160" s="2" t="n">
        <v>643</v>
      </c>
      <c r="AE160" s="2" t="n">
        <v>1</v>
      </c>
      <c r="AF160" s="2"/>
      <c r="AG160" s="2" t="s">
        <v>1353</v>
      </c>
      <c r="AH160" s="2" t="s">
        <v>1354</v>
      </c>
      <c r="AI160" s="2" t="n">
        <v>0</v>
      </c>
    </row>
    <row r="161" customFormat="false" ht="15" hidden="false" customHeight="false" outlineLevel="0" collapsed="false">
      <c r="A161" s="2" t="n">
        <v>92092</v>
      </c>
      <c r="B161" s="2" t="s">
        <v>1355</v>
      </c>
      <c r="C161" s="2"/>
      <c r="D161" s="2" t="s">
        <v>1356</v>
      </c>
      <c r="E161" s="2" t="s">
        <v>55</v>
      </c>
      <c r="F161" s="2" t="s">
        <v>38</v>
      </c>
      <c r="G161" s="2" t="s">
        <v>39</v>
      </c>
      <c r="H161" s="2" t="s">
        <v>40</v>
      </c>
      <c r="I161" s="2" t="s">
        <v>40</v>
      </c>
      <c r="J161" s="2" t="s">
        <v>1357</v>
      </c>
      <c r="K161" s="2" t="s">
        <v>108</v>
      </c>
      <c r="L161" s="2" t="s">
        <v>109</v>
      </c>
      <c r="M161" s="2" t="s">
        <v>44</v>
      </c>
      <c r="N161" s="2"/>
      <c r="O161" s="2" t="n">
        <v>7.8860954</v>
      </c>
      <c r="P161" s="2" t="n">
        <v>98.2897974</v>
      </c>
      <c r="Q161" s="2"/>
      <c r="R161" s="2" t="s">
        <v>1358</v>
      </c>
      <c r="S161" s="2"/>
      <c r="T161" s="2"/>
      <c r="U161" s="2" t="s">
        <v>1359</v>
      </c>
      <c r="V161" s="2"/>
      <c r="W161" s="2" t="s">
        <v>1360</v>
      </c>
      <c r="X161" s="2"/>
      <c r="Y161" s="2" t="s">
        <v>48</v>
      </c>
      <c r="Z161" s="3" t="s">
        <v>1361</v>
      </c>
      <c r="AA161" s="2" t="s">
        <v>40</v>
      </c>
      <c r="AB161" s="2" t="s">
        <v>50</v>
      </c>
      <c r="AC161" s="2" t="n">
        <v>0</v>
      </c>
      <c r="AD161" s="2" t="n">
        <v>711</v>
      </c>
      <c r="AE161" s="2" t="n">
        <v>1</v>
      </c>
      <c r="AF161" s="2"/>
      <c r="AG161" s="2" t="s">
        <v>1362</v>
      </c>
      <c r="AH161" s="2" t="s">
        <v>1363</v>
      </c>
      <c r="AI161" s="2" t="n">
        <v>0</v>
      </c>
    </row>
    <row r="162" customFormat="false" ht="15" hidden="false" customHeight="false" outlineLevel="0" collapsed="false">
      <c r="A162" s="2" t="n">
        <v>91336</v>
      </c>
      <c r="B162" s="2" t="s">
        <v>1364</v>
      </c>
      <c r="C162" s="2"/>
      <c r="D162" s="2" t="s">
        <v>933</v>
      </c>
      <c r="E162" s="2" t="s">
        <v>37</v>
      </c>
      <c r="F162" s="2" t="s">
        <v>38</v>
      </c>
      <c r="G162" s="2" t="s">
        <v>39</v>
      </c>
      <c r="H162" s="2" t="s">
        <v>40</v>
      </c>
      <c r="I162" s="2" t="s">
        <v>40</v>
      </c>
      <c r="J162" s="2" t="s">
        <v>390</v>
      </c>
      <c r="K162" s="2" t="s">
        <v>42</v>
      </c>
      <c r="L162" s="2" t="s">
        <v>43</v>
      </c>
      <c r="M162" s="2" t="s">
        <v>44</v>
      </c>
      <c r="N162" s="2"/>
      <c r="O162" s="2" t="n">
        <v>7.8848808</v>
      </c>
      <c r="P162" s="2" t="n">
        <v>98.3873025</v>
      </c>
      <c r="Q162" s="2"/>
      <c r="R162" s="2" t="s">
        <v>1365</v>
      </c>
      <c r="S162" s="2"/>
      <c r="T162" s="2"/>
      <c r="U162" s="2" t="s">
        <v>1366</v>
      </c>
      <c r="V162" s="2"/>
      <c r="W162" s="2" t="s">
        <v>368</v>
      </c>
      <c r="X162" s="2"/>
      <c r="Y162" s="2" t="s">
        <v>48</v>
      </c>
      <c r="Z162" s="3" t="s">
        <v>1367</v>
      </c>
      <c r="AA162" s="2" t="s">
        <v>40</v>
      </c>
      <c r="AB162" s="2" t="s">
        <v>50</v>
      </c>
      <c r="AC162" s="2" t="n">
        <v>0</v>
      </c>
      <c r="AD162" s="2" t="n">
        <v>770</v>
      </c>
      <c r="AE162" s="2" t="n">
        <v>0</v>
      </c>
      <c r="AF162" s="2"/>
      <c r="AG162" s="2" t="s">
        <v>1368</v>
      </c>
      <c r="AH162" s="2" t="s">
        <v>1369</v>
      </c>
      <c r="AI162" s="2" t="n">
        <v>0</v>
      </c>
    </row>
    <row r="163" customFormat="false" ht="15" hidden="false" customHeight="false" outlineLevel="0" collapsed="false">
      <c r="A163" s="2" t="n">
        <v>91141</v>
      </c>
      <c r="B163" s="2" t="s">
        <v>1370</v>
      </c>
      <c r="C163" s="2"/>
      <c r="D163" s="2" t="s">
        <v>1371</v>
      </c>
      <c r="E163" s="2" t="s">
        <v>105</v>
      </c>
      <c r="F163" s="2" t="s">
        <v>106</v>
      </c>
      <c r="G163" s="2" t="s">
        <v>39</v>
      </c>
      <c r="H163" s="2" t="s">
        <v>40</v>
      </c>
      <c r="I163" s="2" t="s">
        <v>40</v>
      </c>
      <c r="J163" s="2" t="s">
        <v>1372</v>
      </c>
      <c r="K163" s="2" t="s">
        <v>108</v>
      </c>
      <c r="L163" s="2" t="s">
        <v>109</v>
      </c>
      <c r="M163" s="2" t="s">
        <v>44</v>
      </c>
      <c r="N163" s="2"/>
      <c r="O163" s="2" t="n">
        <v>7.888368</v>
      </c>
      <c r="P163" s="2" t="n">
        <v>98.292933</v>
      </c>
      <c r="Q163" s="2" t="s">
        <v>1373</v>
      </c>
      <c r="R163" s="2"/>
      <c r="S163" s="2"/>
      <c r="T163" s="2"/>
      <c r="U163" s="2" t="s">
        <v>1374</v>
      </c>
      <c r="V163" s="2"/>
      <c r="W163" s="2" t="s">
        <v>1375</v>
      </c>
      <c r="X163" s="2"/>
      <c r="Y163" s="2" t="s">
        <v>48</v>
      </c>
      <c r="Z163" s="3" t="s">
        <v>1376</v>
      </c>
      <c r="AA163" s="2" t="s">
        <v>40</v>
      </c>
      <c r="AB163" s="2" t="s">
        <v>50</v>
      </c>
      <c r="AC163" s="2" t="n">
        <v>0</v>
      </c>
      <c r="AD163" s="2" t="n">
        <v>623</v>
      </c>
      <c r="AE163" s="2" t="n">
        <v>0</v>
      </c>
      <c r="AF163" s="2"/>
      <c r="AG163" s="2" t="s">
        <v>1377</v>
      </c>
      <c r="AH163" s="2" t="s">
        <v>1378</v>
      </c>
      <c r="AI163" s="2" t="n">
        <v>0</v>
      </c>
    </row>
    <row r="164" customFormat="false" ht="15" hidden="false" customHeight="false" outlineLevel="0" collapsed="false">
      <c r="A164" s="2" t="n">
        <v>90899</v>
      </c>
      <c r="B164" s="2" t="s">
        <v>1379</v>
      </c>
      <c r="C164" s="2"/>
      <c r="D164" s="2" t="s">
        <v>184</v>
      </c>
      <c r="E164" s="2" t="s">
        <v>37</v>
      </c>
      <c r="F164" s="2" t="s">
        <v>38</v>
      </c>
      <c r="G164" s="2" t="s">
        <v>39</v>
      </c>
      <c r="H164" s="2" t="s">
        <v>40</v>
      </c>
      <c r="I164" s="2" t="s">
        <v>40</v>
      </c>
      <c r="J164" s="2" t="s">
        <v>382</v>
      </c>
      <c r="K164" s="2" t="s">
        <v>131</v>
      </c>
      <c r="L164" s="2" t="s">
        <v>58</v>
      </c>
      <c r="M164" s="2" t="s">
        <v>44</v>
      </c>
      <c r="N164" s="2"/>
      <c r="O164" s="2" t="n">
        <v>8.101973</v>
      </c>
      <c r="P164" s="2" t="n">
        <v>98.30268</v>
      </c>
      <c r="Q164" s="2"/>
      <c r="R164" s="2" t="s">
        <v>1380</v>
      </c>
      <c r="S164" s="2"/>
      <c r="T164" s="2"/>
      <c r="U164" s="2" t="s">
        <v>1381</v>
      </c>
      <c r="V164" s="2"/>
      <c r="W164" s="2" t="s">
        <v>1382</v>
      </c>
      <c r="X164" s="2"/>
      <c r="Y164" s="2" t="s">
        <v>48</v>
      </c>
      <c r="Z164" s="3" t="s">
        <v>1383</v>
      </c>
      <c r="AA164" s="2" t="s">
        <v>40</v>
      </c>
      <c r="AB164" s="2" t="s">
        <v>50</v>
      </c>
      <c r="AC164" s="2" t="n">
        <v>0</v>
      </c>
      <c r="AD164" s="2" t="n">
        <v>816</v>
      </c>
      <c r="AE164" s="2" t="n">
        <v>0</v>
      </c>
      <c r="AF164" s="2"/>
      <c r="AG164" s="2" t="s">
        <v>1384</v>
      </c>
      <c r="AH164" s="2" t="s">
        <v>1385</v>
      </c>
      <c r="AI164" s="2" t="n">
        <v>0</v>
      </c>
    </row>
    <row r="165" customFormat="false" ht="15" hidden="false" customHeight="false" outlineLevel="0" collapsed="false">
      <c r="A165" s="2" t="n">
        <v>90821</v>
      </c>
      <c r="B165" s="2" t="s">
        <v>1386</v>
      </c>
      <c r="C165" s="2"/>
      <c r="D165" s="2" t="s">
        <v>36</v>
      </c>
      <c r="E165" s="2" t="s">
        <v>105</v>
      </c>
      <c r="F165" s="2" t="s">
        <v>38</v>
      </c>
      <c r="G165" s="2" t="s">
        <v>39</v>
      </c>
      <c r="H165" s="2" t="s">
        <v>40</v>
      </c>
      <c r="I165" s="2" t="s">
        <v>40</v>
      </c>
      <c r="J165" s="2" t="s">
        <v>77</v>
      </c>
      <c r="K165" s="2" t="s">
        <v>78</v>
      </c>
      <c r="L165" s="2" t="s">
        <v>43</v>
      </c>
      <c r="M165" s="2" t="s">
        <v>44</v>
      </c>
      <c r="N165" s="2"/>
      <c r="O165" s="2" t="n">
        <v>7.900329</v>
      </c>
      <c r="P165" s="2" t="n">
        <v>98.367879</v>
      </c>
      <c r="Q165" s="2" t="s">
        <v>1387</v>
      </c>
      <c r="R165" s="2"/>
      <c r="S165" s="2"/>
      <c r="T165" s="2"/>
      <c r="U165" s="2" t="s">
        <v>1388</v>
      </c>
      <c r="V165" s="2"/>
      <c r="W165" s="2" t="s">
        <v>882</v>
      </c>
      <c r="X165" s="2"/>
      <c r="Y165" s="2" t="s">
        <v>48</v>
      </c>
      <c r="Z165" s="3" t="s">
        <v>1389</v>
      </c>
      <c r="AA165" s="2" t="s">
        <v>40</v>
      </c>
      <c r="AB165" s="2" t="s">
        <v>50</v>
      </c>
      <c r="AC165" s="2" t="n">
        <v>0</v>
      </c>
      <c r="AD165" s="2" t="n">
        <v>675</v>
      </c>
      <c r="AE165" s="2" t="n">
        <v>1</v>
      </c>
      <c r="AF165" s="2"/>
      <c r="AG165" s="2" t="s">
        <v>1390</v>
      </c>
      <c r="AH165" s="2" t="s">
        <v>1391</v>
      </c>
      <c r="AI165" s="2" t="n">
        <v>0</v>
      </c>
    </row>
    <row r="166" customFormat="false" ht="15" hidden="false" customHeight="false" outlineLevel="0" collapsed="false">
      <c r="A166" s="2" t="n">
        <v>90941</v>
      </c>
      <c r="B166" s="2" t="s">
        <v>1392</v>
      </c>
      <c r="C166" s="2"/>
      <c r="D166" s="2" t="s">
        <v>870</v>
      </c>
      <c r="E166" s="2" t="s">
        <v>55</v>
      </c>
      <c r="F166" s="2" t="s">
        <v>129</v>
      </c>
      <c r="G166" s="2" t="s">
        <v>39</v>
      </c>
      <c r="H166" s="2" t="s">
        <v>40</v>
      </c>
      <c r="I166" s="2" t="s">
        <v>40</v>
      </c>
      <c r="J166" s="2" t="s">
        <v>382</v>
      </c>
      <c r="K166" s="2" t="s">
        <v>131</v>
      </c>
      <c r="L166" s="2" t="s">
        <v>58</v>
      </c>
      <c r="M166" s="2" t="s">
        <v>44</v>
      </c>
      <c r="N166" s="2"/>
      <c r="O166" s="2" t="n">
        <v>8.0884179</v>
      </c>
      <c r="P166" s="2" t="n">
        <v>98.2972639</v>
      </c>
      <c r="Q166" s="2"/>
      <c r="R166" s="2" t="s">
        <v>1393</v>
      </c>
      <c r="S166" s="2"/>
      <c r="T166" s="2"/>
      <c r="U166" s="2" t="s">
        <v>1394</v>
      </c>
      <c r="V166" s="2"/>
      <c r="W166" s="2" t="s">
        <v>1395</v>
      </c>
      <c r="X166" s="2"/>
      <c r="Y166" s="2" t="s">
        <v>48</v>
      </c>
      <c r="Z166" s="3" t="s">
        <v>1396</v>
      </c>
      <c r="AA166" s="2" t="s">
        <v>40</v>
      </c>
      <c r="AB166" s="2" t="s">
        <v>50</v>
      </c>
      <c r="AC166" s="2" t="n">
        <v>0</v>
      </c>
      <c r="AD166" s="2" t="n">
        <v>651</v>
      </c>
      <c r="AE166" s="2" t="n">
        <v>0</v>
      </c>
      <c r="AF166" s="2"/>
      <c r="AG166" s="2" t="s">
        <v>1397</v>
      </c>
      <c r="AH166" s="2" t="s">
        <v>1398</v>
      </c>
      <c r="AI166" s="2" t="n">
        <v>0</v>
      </c>
    </row>
    <row r="167" customFormat="false" ht="15" hidden="false" customHeight="false" outlineLevel="0" collapsed="false">
      <c r="A167" s="2" t="n">
        <v>90811</v>
      </c>
      <c r="B167" s="2" t="s">
        <v>1399</v>
      </c>
      <c r="C167" s="2"/>
      <c r="D167" s="2" t="s">
        <v>1400</v>
      </c>
      <c r="E167" s="2" t="s">
        <v>37</v>
      </c>
      <c r="F167" s="2" t="s">
        <v>106</v>
      </c>
      <c r="G167" s="2" t="s">
        <v>39</v>
      </c>
      <c r="H167" s="2" t="s">
        <v>40</v>
      </c>
      <c r="I167" s="2" t="s">
        <v>40</v>
      </c>
      <c r="J167" s="2" t="s">
        <v>1401</v>
      </c>
      <c r="K167" s="2" t="s">
        <v>88</v>
      </c>
      <c r="L167" s="2" t="s">
        <v>43</v>
      </c>
      <c r="M167" s="2" t="s">
        <v>44</v>
      </c>
      <c r="N167" s="2"/>
      <c r="O167" s="2" t="n">
        <v>7.771959</v>
      </c>
      <c r="P167" s="2" t="n">
        <v>98.321244</v>
      </c>
      <c r="Q167" s="2"/>
      <c r="R167" s="2" t="s">
        <v>1402</v>
      </c>
      <c r="S167" s="2"/>
      <c r="T167" s="2"/>
      <c r="U167" s="2" t="s">
        <v>1403</v>
      </c>
      <c r="V167" s="2"/>
      <c r="W167" s="2" t="s">
        <v>1308</v>
      </c>
      <c r="X167" s="2"/>
      <c r="Y167" s="2" t="s">
        <v>48</v>
      </c>
      <c r="Z167" s="3" t="s">
        <v>1404</v>
      </c>
      <c r="AA167" s="2" t="s">
        <v>40</v>
      </c>
      <c r="AB167" s="2" t="s">
        <v>50</v>
      </c>
      <c r="AC167" s="2" t="n">
        <v>0</v>
      </c>
      <c r="AD167" s="2" t="n">
        <v>636</v>
      </c>
      <c r="AE167" s="2" t="n">
        <v>0</v>
      </c>
      <c r="AF167" s="2"/>
      <c r="AG167" s="2" t="s">
        <v>1405</v>
      </c>
      <c r="AH167" s="2" t="s">
        <v>1406</v>
      </c>
      <c r="AI167" s="2" t="n">
        <v>0</v>
      </c>
    </row>
    <row r="168" customFormat="false" ht="15" hidden="false" customHeight="false" outlineLevel="0" collapsed="false">
      <c r="A168" s="2" t="n">
        <v>92085</v>
      </c>
      <c r="B168" s="2" t="s">
        <v>1407</v>
      </c>
      <c r="C168" s="2"/>
      <c r="D168" s="2" t="s">
        <v>814</v>
      </c>
      <c r="E168" s="2" t="s">
        <v>105</v>
      </c>
      <c r="F168" s="2" t="s">
        <v>106</v>
      </c>
      <c r="G168" s="2" t="s">
        <v>39</v>
      </c>
      <c r="H168" s="2" t="s">
        <v>40</v>
      </c>
      <c r="I168" s="2" t="s">
        <v>40</v>
      </c>
      <c r="J168" s="2" t="s">
        <v>498</v>
      </c>
      <c r="K168" s="2" t="s">
        <v>120</v>
      </c>
      <c r="L168" s="2" t="s">
        <v>58</v>
      </c>
      <c r="M168" s="2" t="s">
        <v>44</v>
      </c>
      <c r="N168" s="2"/>
      <c r="O168" s="2" t="n">
        <v>8.1551054</v>
      </c>
      <c r="P168" s="2" t="n">
        <v>98.2963146</v>
      </c>
      <c r="Q168" s="2" t="s">
        <v>1408</v>
      </c>
      <c r="R168" s="2"/>
      <c r="S168" s="2"/>
      <c r="T168" s="2"/>
      <c r="U168" s="2" t="s">
        <v>1409</v>
      </c>
      <c r="V168" s="2"/>
      <c r="W168" s="2" t="s">
        <v>533</v>
      </c>
      <c r="X168" s="2"/>
      <c r="Y168" s="2" t="s">
        <v>48</v>
      </c>
      <c r="Z168" s="3" t="s">
        <v>1410</v>
      </c>
      <c r="AA168" s="2" t="s">
        <v>40</v>
      </c>
      <c r="AB168" s="2" t="s">
        <v>50</v>
      </c>
      <c r="AC168" s="2" t="n">
        <v>0</v>
      </c>
      <c r="AD168" s="2" t="n">
        <v>627</v>
      </c>
      <c r="AE168" s="2" t="n">
        <v>1</v>
      </c>
      <c r="AF168" s="2"/>
      <c r="AG168" s="2" t="s">
        <v>1411</v>
      </c>
      <c r="AH168" s="2" t="s">
        <v>1412</v>
      </c>
      <c r="AI168" s="2" t="n">
        <v>0</v>
      </c>
    </row>
    <row r="169" customFormat="false" ht="15" hidden="false" customHeight="false" outlineLevel="0" collapsed="false">
      <c r="A169" s="2" t="n">
        <v>91973</v>
      </c>
      <c r="B169" s="2" t="s">
        <v>1413</v>
      </c>
      <c r="C169" s="2"/>
      <c r="D169" s="2" t="s">
        <v>735</v>
      </c>
      <c r="E169" s="2" t="s">
        <v>55</v>
      </c>
      <c r="F169" s="2" t="s">
        <v>106</v>
      </c>
      <c r="G169" s="2" t="s">
        <v>39</v>
      </c>
      <c r="H169" s="2" t="s">
        <v>40</v>
      </c>
      <c r="I169" s="2" t="s">
        <v>40</v>
      </c>
      <c r="J169" s="2" t="s">
        <v>1414</v>
      </c>
      <c r="K169" s="2" t="s">
        <v>42</v>
      </c>
      <c r="L169" s="2" t="s">
        <v>43</v>
      </c>
      <c r="M169" s="2" t="s">
        <v>44</v>
      </c>
      <c r="N169" s="2"/>
      <c r="O169" s="2" t="n">
        <v>7.8830347</v>
      </c>
      <c r="P169" s="2" t="n">
        <v>98.389043</v>
      </c>
      <c r="Q169" s="2" t="s">
        <v>1415</v>
      </c>
      <c r="R169" s="2"/>
      <c r="S169" s="2"/>
      <c r="T169" s="2"/>
      <c r="U169" s="2" t="s">
        <v>1416</v>
      </c>
      <c r="V169" s="2"/>
      <c r="W169" s="2" t="s">
        <v>1417</v>
      </c>
      <c r="X169" s="2"/>
      <c r="Y169" s="2" t="s">
        <v>48</v>
      </c>
      <c r="Z169" s="3" t="s">
        <v>1418</v>
      </c>
      <c r="AA169" s="2" t="s">
        <v>40</v>
      </c>
      <c r="AB169" s="2" t="s">
        <v>50</v>
      </c>
      <c r="AC169" s="2" t="n">
        <v>0</v>
      </c>
      <c r="AD169" s="2" t="n">
        <v>503</v>
      </c>
      <c r="AE169" s="2" t="n">
        <v>1</v>
      </c>
      <c r="AF169" s="2"/>
      <c r="AG169" s="2" t="s">
        <v>1419</v>
      </c>
      <c r="AH169" s="2" t="s">
        <v>1420</v>
      </c>
      <c r="AI169" s="2" t="n">
        <v>0</v>
      </c>
    </row>
    <row r="170" customFormat="false" ht="15" hidden="false" customHeight="false" outlineLevel="0" collapsed="false">
      <c r="A170" s="2" t="n">
        <v>90895</v>
      </c>
      <c r="B170" s="2" t="s">
        <v>1421</v>
      </c>
      <c r="C170" s="2"/>
      <c r="D170" s="2" t="s">
        <v>726</v>
      </c>
      <c r="E170" s="2" t="s">
        <v>55</v>
      </c>
      <c r="F170" s="2" t="s">
        <v>38</v>
      </c>
      <c r="G170" s="2" t="s">
        <v>39</v>
      </c>
      <c r="H170" s="2" t="s">
        <v>40</v>
      </c>
      <c r="I170" s="2" t="s">
        <v>40</v>
      </c>
      <c r="J170" s="2" t="s">
        <v>1422</v>
      </c>
      <c r="K170" s="2" t="s">
        <v>108</v>
      </c>
      <c r="L170" s="2" t="s">
        <v>109</v>
      </c>
      <c r="M170" s="2" t="s">
        <v>44</v>
      </c>
      <c r="N170" s="2"/>
      <c r="O170" s="2" t="n">
        <v>7.908505</v>
      </c>
      <c r="P170" s="2" t="n">
        <v>98.296694</v>
      </c>
      <c r="Q170" s="2" t="s">
        <v>1423</v>
      </c>
      <c r="R170" s="2"/>
      <c r="S170" s="2"/>
      <c r="T170" s="2"/>
      <c r="U170" s="2" t="s">
        <v>1424</v>
      </c>
      <c r="V170" s="2"/>
      <c r="W170" s="2" t="s">
        <v>635</v>
      </c>
      <c r="X170" s="2"/>
      <c r="Y170" s="2" t="s">
        <v>48</v>
      </c>
      <c r="Z170" s="3" t="s">
        <v>1425</v>
      </c>
      <c r="AA170" s="2" t="s">
        <v>40</v>
      </c>
      <c r="AB170" s="2" t="s">
        <v>50</v>
      </c>
      <c r="AC170" s="2" t="n">
        <v>0</v>
      </c>
      <c r="AD170" s="2" t="n">
        <v>748</v>
      </c>
      <c r="AE170" s="2" t="n">
        <v>1</v>
      </c>
      <c r="AF170" s="2"/>
      <c r="AG170" s="2" t="s">
        <v>1426</v>
      </c>
      <c r="AH170" s="2" t="s">
        <v>1427</v>
      </c>
      <c r="AI170" s="2" t="n">
        <v>0</v>
      </c>
    </row>
    <row r="171" customFormat="false" ht="15" hidden="false" customHeight="false" outlineLevel="0" collapsed="false">
      <c r="A171" s="2" t="n">
        <v>92080</v>
      </c>
      <c r="B171" s="2" t="s">
        <v>1428</v>
      </c>
      <c r="C171" s="2"/>
      <c r="D171" s="2" t="s">
        <v>157</v>
      </c>
      <c r="E171" s="2" t="s">
        <v>37</v>
      </c>
      <c r="F171" s="2" t="s">
        <v>38</v>
      </c>
      <c r="G171" s="2" t="s">
        <v>39</v>
      </c>
      <c r="H171" s="2" t="s">
        <v>40</v>
      </c>
      <c r="I171" s="2" t="s">
        <v>40</v>
      </c>
      <c r="J171" s="2" t="s">
        <v>1429</v>
      </c>
      <c r="K171" s="2" t="s">
        <v>78</v>
      </c>
      <c r="L171" s="2" t="s">
        <v>43</v>
      </c>
      <c r="M171" s="2" t="s">
        <v>44</v>
      </c>
      <c r="N171" s="2"/>
      <c r="O171" s="2" t="n">
        <v>7.9071329</v>
      </c>
      <c r="P171" s="2" t="n">
        <v>98.3733899</v>
      </c>
      <c r="Q171" s="2"/>
      <c r="R171" s="2" t="s">
        <v>1430</v>
      </c>
      <c r="S171" s="2"/>
      <c r="T171" s="2"/>
      <c r="U171" s="2" t="s">
        <v>1431</v>
      </c>
      <c r="V171" s="2"/>
      <c r="W171" s="2" t="s">
        <v>1432</v>
      </c>
      <c r="X171" s="2"/>
      <c r="Y171" s="2" t="s">
        <v>48</v>
      </c>
      <c r="Z171" s="3" t="s">
        <v>1433</v>
      </c>
      <c r="AA171" s="2" t="s">
        <v>40</v>
      </c>
      <c r="AB171" s="2" t="s">
        <v>50</v>
      </c>
      <c r="AC171" s="2" t="n">
        <v>0</v>
      </c>
      <c r="AD171" s="2" t="n">
        <v>617</v>
      </c>
      <c r="AE171" s="2" t="n">
        <v>0</v>
      </c>
      <c r="AF171" s="2"/>
      <c r="AG171" s="2" t="s">
        <v>1434</v>
      </c>
      <c r="AH171" s="2" t="s">
        <v>1435</v>
      </c>
      <c r="AI171" s="2" t="n">
        <v>0</v>
      </c>
    </row>
    <row r="172" customFormat="false" ht="15" hidden="false" customHeight="false" outlineLevel="0" collapsed="false">
      <c r="A172" s="2" t="n">
        <v>90841</v>
      </c>
      <c r="B172" s="2" t="s">
        <v>1436</v>
      </c>
      <c r="C172" s="2"/>
      <c r="D172" s="2" t="s">
        <v>670</v>
      </c>
      <c r="E172" s="2" t="s">
        <v>55</v>
      </c>
      <c r="F172" s="2" t="s">
        <v>38</v>
      </c>
      <c r="G172" s="2" t="s">
        <v>39</v>
      </c>
      <c r="H172" s="2" t="s">
        <v>40</v>
      </c>
      <c r="I172" s="2" t="s">
        <v>40</v>
      </c>
      <c r="J172" s="2" t="s">
        <v>490</v>
      </c>
      <c r="K172" s="2" t="s">
        <v>68</v>
      </c>
      <c r="L172" s="2" t="s">
        <v>43</v>
      </c>
      <c r="M172" s="2" t="s">
        <v>44</v>
      </c>
      <c r="N172" s="2"/>
      <c r="O172" s="2" t="n">
        <v>7.8827761</v>
      </c>
      <c r="P172" s="2" t="n">
        <v>98.3982017</v>
      </c>
      <c r="Q172" s="2" t="s">
        <v>1437</v>
      </c>
      <c r="R172" s="2"/>
      <c r="S172" s="2"/>
      <c r="T172" s="2"/>
      <c r="U172" s="2" t="s">
        <v>1438</v>
      </c>
      <c r="V172" s="2"/>
      <c r="W172" s="2" t="s">
        <v>1439</v>
      </c>
      <c r="X172" s="2"/>
      <c r="Y172" s="2" t="s">
        <v>48</v>
      </c>
      <c r="Z172" s="3" t="s">
        <v>1440</v>
      </c>
      <c r="AA172" s="2" t="s">
        <v>40</v>
      </c>
      <c r="AB172" s="2" t="s">
        <v>50</v>
      </c>
      <c r="AC172" s="2" t="n">
        <v>0</v>
      </c>
      <c r="AD172" s="2" t="n">
        <v>692</v>
      </c>
      <c r="AE172" s="2" t="n">
        <v>0</v>
      </c>
      <c r="AF172" s="2"/>
      <c r="AG172" s="2" t="s">
        <v>1441</v>
      </c>
      <c r="AH172" s="2" t="s">
        <v>1442</v>
      </c>
      <c r="AI172" s="2" t="n">
        <v>0</v>
      </c>
    </row>
    <row r="173" customFormat="false" ht="15" hidden="false" customHeight="false" outlineLevel="0" collapsed="false">
      <c r="A173" s="2" t="n">
        <v>91453</v>
      </c>
      <c r="B173" s="2" t="s">
        <v>1443</v>
      </c>
      <c r="C173" s="2"/>
      <c r="D173" s="2" t="s">
        <v>1444</v>
      </c>
      <c r="E173" s="2" t="s">
        <v>117</v>
      </c>
      <c r="F173" s="2" t="s">
        <v>118</v>
      </c>
      <c r="G173" s="2" t="s">
        <v>39</v>
      </c>
      <c r="H173" s="2" t="s">
        <v>40</v>
      </c>
      <c r="I173" s="2" t="s">
        <v>40</v>
      </c>
      <c r="J173" s="2" t="s">
        <v>1445</v>
      </c>
      <c r="K173" s="2" t="s">
        <v>78</v>
      </c>
      <c r="L173" s="2" t="s">
        <v>43</v>
      </c>
      <c r="M173" s="2" t="s">
        <v>44</v>
      </c>
      <c r="N173" s="2"/>
      <c r="O173" s="2" t="n">
        <v>7.906776</v>
      </c>
      <c r="P173" s="2" t="n">
        <v>98.37336</v>
      </c>
      <c r="Q173" s="2"/>
      <c r="R173" s="2" t="s">
        <v>1446</v>
      </c>
      <c r="S173" s="2"/>
      <c r="T173" s="2"/>
      <c r="U173" s="2" t="s">
        <v>1447</v>
      </c>
      <c r="V173" s="2"/>
      <c r="W173" s="2" t="s">
        <v>1448</v>
      </c>
      <c r="X173" s="2"/>
      <c r="Y173" s="2" t="s">
        <v>48</v>
      </c>
      <c r="Z173" s="3" t="s">
        <v>1449</v>
      </c>
      <c r="AA173" s="2" t="s">
        <v>40</v>
      </c>
      <c r="AB173" s="2" t="s">
        <v>50</v>
      </c>
      <c r="AC173" s="2" t="n">
        <v>0</v>
      </c>
      <c r="AD173" s="2" t="n">
        <v>1104</v>
      </c>
      <c r="AE173" s="2" t="n">
        <v>1</v>
      </c>
      <c r="AF173" s="2"/>
      <c r="AG173" s="2" t="s">
        <v>1450</v>
      </c>
      <c r="AH173" s="2" t="s">
        <v>1451</v>
      </c>
      <c r="AI173" s="2" t="n">
        <v>0</v>
      </c>
    </row>
    <row r="174" customFormat="false" ht="15" hidden="false" customHeight="false" outlineLevel="0" collapsed="false">
      <c r="A174" s="2" t="n">
        <v>91442</v>
      </c>
      <c r="B174" s="2" t="s">
        <v>1452</v>
      </c>
      <c r="C174" s="2"/>
      <c r="D174" s="2" t="s">
        <v>104</v>
      </c>
      <c r="E174" s="2" t="s">
        <v>55</v>
      </c>
      <c r="F174" s="2" t="s">
        <v>106</v>
      </c>
      <c r="G174" s="2" t="s">
        <v>39</v>
      </c>
      <c r="H174" s="2" t="s">
        <v>40</v>
      </c>
      <c r="I174" s="2" t="s">
        <v>40</v>
      </c>
      <c r="J174" s="2" t="s">
        <v>1453</v>
      </c>
      <c r="K174" s="2" t="s">
        <v>42</v>
      </c>
      <c r="L174" s="2" t="s">
        <v>43</v>
      </c>
      <c r="M174" s="2" t="s">
        <v>44</v>
      </c>
      <c r="N174" s="2"/>
      <c r="O174" s="2" t="n">
        <v>7.881237</v>
      </c>
      <c r="P174" s="2" t="n">
        <v>98.388411</v>
      </c>
      <c r="Q174" s="2"/>
      <c r="R174" s="2" t="s">
        <v>1454</v>
      </c>
      <c r="S174" s="2"/>
      <c r="T174" s="2"/>
      <c r="U174" s="2" t="s">
        <v>1455</v>
      </c>
      <c r="V174" s="2"/>
      <c r="W174" s="2" t="s">
        <v>1456</v>
      </c>
      <c r="X174" s="2"/>
      <c r="Y174" s="2" t="s">
        <v>48</v>
      </c>
      <c r="Z174" s="3" t="s">
        <v>1457</v>
      </c>
      <c r="AA174" s="2" t="s">
        <v>40</v>
      </c>
      <c r="AB174" s="2" t="s">
        <v>50</v>
      </c>
      <c r="AC174" s="2" t="n">
        <v>0</v>
      </c>
      <c r="AD174" s="2" t="n">
        <v>871</v>
      </c>
      <c r="AE174" s="2" t="n">
        <v>0</v>
      </c>
      <c r="AF174" s="2"/>
      <c r="AG174" s="2" t="s">
        <v>1458</v>
      </c>
      <c r="AH174" s="2" t="s">
        <v>1459</v>
      </c>
      <c r="AI174" s="2" t="n">
        <v>0</v>
      </c>
    </row>
    <row r="175" customFormat="false" ht="15" hidden="false" customHeight="false" outlineLevel="0" collapsed="false">
      <c r="A175" s="2" t="n">
        <v>91163</v>
      </c>
      <c r="B175" s="2" t="s">
        <v>1460</v>
      </c>
      <c r="C175" s="2"/>
      <c r="D175" s="2" t="s">
        <v>1461</v>
      </c>
      <c r="E175" s="2" t="s">
        <v>37</v>
      </c>
      <c r="F175" s="2" t="s">
        <v>38</v>
      </c>
      <c r="G175" s="2" t="s">
        <v>39</v>
      </c>
      <c r="H175" s="2" t="s">
        <v>40</v>
      </c>
      <c r="I175" s="2" t="s">
        <v>40</v>
      </c>
      <c r="J175" s="2" t="s">
        <v>200</v>
      </c>
      <c r="K175" s="2" t="s">
        <v>78</v>
      </c>
      <c r="L175" s="2" t="s">
        <v>43</v>
      </c>
      <c r="M175" s="2" t="s">
        <v>44</v>
      </c>
      <c r="N175" s="2"/>
      <c r="O175" s="2" t="n">
        <v>7.887839</v>
      </c>
      <c r="P175" s="2" t="n">
        <v>98.371694</v>
      </c>
      <c r="Q175" s="2"/>
      <c r="R175" s="2" t="s">
        <v>1462</v>
      </c>
      <c r="S175" s="2"/>
      <c r="T175" s="2"/>
      <c r="U175" s="2" t="s">
        <v>1463</v>
      </c>
      <c r="V175" s="2"/>
      <c r="W175" s="2" t="s">
        <v>1464</v>
      </c>
      <c r="X175" s="2"/>
      <c r="Y175" s="2" t="s">
        <v>48</v>
      </c>
      <c r="Z175" s="3" t="s">
        <v>1465</v>
      </c>
      <c r="AA175" s="2" t="s">
        <v>40</v>
      </c>
      <c r="AB175" s="2" t="s">
        <v>50</v>
      </c>
      <c r="AC175" s="2" t="n">
        <v>0</v>
      </c>
      <c r="AD175" s="2" t="n">
        <v>777</v>
      </c>
      <c r="AE175" s="2" t="n">
        <v>1</v>
      </c>
      <c r="AF175" s="2"/>
      <c r="AG175" s="2" t="s">
        <v>1466</v>
      </c>
      <c r="AH175" s="2" t="s">
        <v>1467</v>
      </c>
      <c r="AI175" s="2" t="n">
        <v>0</v>
      </c>
    </row>
    <row r="176" customFormat="false" ht="15" hidden="false" customHeight="false" outlineLevel="0" collapsed="false">
      <c r="A176" s="2" t="n">
        <v>91189</v>
      </c>
      <c r="B176" s="2" t="s">
        <v>1468</v>
      </c>
      <c r="C176" s="2"/>
      <c r="D176" s="2" t="s">
        <v>1469</v>
      </c>
      <c r="E176" s="2" t="s">
        <v>37</v>
      </c>
      <c r="F176" s="2" t="s">
        <v>106</v>
      </c>
      <c r="G176" s="2" t="s">
        <v>39</v>
      </c>
      <c r="H176" s="2" t="s">
        <v>40</v>
      </c>
      <c r="I176" s="2" t="s">
        <v>40</v>
      </c>
      <c r="J176" s="2" t="s">
        <v>1470</v>
      </c>
      <c r="K176" s="2" t="s">
        <v>108</v>
      </c>
      <c r="L176" s="2" t="s">
        <v>109</v>
      </c>
      <c r="M176" s="2" t="s">
        <v>44</v>
      </c>
      <c r="N176" s="2"/>
      <c r="O176" s="2" t="n">
        <v>7.910204</v>
      </c>
      <c r="P176" s="2" t="n">
        <v>98.2960475</v>
      </c>
      <c r="Q176" s="2"/>
      <c r="R176" s="2" t="s">
        <v>1471</v>
      </c>
      <c r="S176" s="2"/>
      <c r="T176" s="2"/>
      <c r="U176" s="2" t="s">
        <v>1472</v>
      </c>
      <c r="V176" s="2"/>
      <c r="W176" s="2" t="s">
        <v>1082</v>
      </c>
      <c r="X176" s="2"/>
      <c r="Y176" s="2" t="s">
        <v>48</v>
      </c>
      <c r="Z176" s="3" t="s">
        <v>1473</v>
      </c>
      <c r="AA176" s="2" t="s">
        <v>40</v>
      </c>
      <c r="AB176" s="2" t="s">
        <v>50</v>
      </c>
      <c r="AC176" s="2" t="n">
        <v>0</v>
      </c>
      <c r="AD176" s="2" t="n">
        <v>915</v>
      </c>
      <c r="AE176" s="2" t="n">
        <v>0</v>
      </c>
      <c r="AF176" s="2"/>
      <c r="AG176" s="2" t="s">
        <v>1474</v>
      </c>
      <c r="AH176" s="2" t="s">
        <v>1475</v>
      </c>
      <c r="AI176" s="2" t="n">
        <v>0</v>
      </c>
    </row>
    <row r="177" customFormat="false" ht="15" hidden="false" customHeight="false" outlineLevel="0" collapsed="false">
      <c r="A177" s="2" t="n">
        <v>91978</v>
      </c>
      <c r="B177" s="2" t="s">
        <v>1476</v>
      </c>
      <c r="C177" s="2"/>
      <c r="D177" s="2" t="s">
        <v>704</v>
      </c>
      <c r="E177" s="2" t="s">
        <v>105</v>
      </c>
      <c r="F177" s="2" t="s">
        <v>129</v>
      </c>
      <c r="G177" s="2" t="s">
        <v>39</v>
      </c>
      <c r="H177" s="2" t="s">
        <v>40</v>
      </c>
      <c r="I177" s="2" t="s">
        <v>40</v>
      </c>
      <c r="J177" s="2" t="s">
        <v>1477</v>
      </c>
      <c r="K177" s="2" t="s">
        <v>108</v>
      </c>
      <c r="L177" s="2" t="s">
        <v>109</v>
      </c>
      <c r="M177" s="2" t="s">
        <v>44</v>
      </c>
      <c r="N177" s="2"/>
      <c r="O177" s="2" t="n">
        <v>7.8166215</v>
      </c>
      <c r="P177" s="2" t="n">
        <v>98.2995701</v>
      </c>
      <c r="Q177" s="2"/>
      <c r="R177" s="2" t="s">
        <v>1478</v>
      </c>
      <c r="S177" s="2"/>
      <c r="T177" s="2"/>
      <c r="U177" s="2" t="s">
        <v>1479</v>
      </c>
      <c r="V177" s="2"/>
      <c r="W177" s="2" t="s">
        <v>834</v>
      </c>
      <c r="X177" s="2"/>
      <c r="Y177" s="2" t="s">
        <v>48</v>
      </c>
      <c r="Z177" s="3" t="s">
        <v>1480</v>
      </c>
      <c r="AA177" s="2" t="s">
        <v>40</v>
      </c>
      <c r="AB177" s="2" t="s">
        <v>50</v>
      </c>
      <c r="AC177" s="2" t="n">
        <v>0</v>
      </c>
      <c r="AD177" s="2" t="n">
        <v>924</v>
      </c>
      <c r="AE177" s="2" t="n">
        <v>1</v>
      </c>
      <c r="AF177" s="2"/>
      <c r="AG177" s="2" t="s">
        <v>1481</v>
      </c>
      <c r="AH177" s="2" t="s">
        <v>1482</v>
      </c>
      <c r="AI177" s="2" t="n">
        <v>0</v>
      </c>
    </row>
    <row r="178" customFormat="false" ht="15" hidden="false" customHeight="false" outlineLevel="0" collapsed="false">
      <c r="A178" s="2" t="n">
        <v>91452</v>
      </c>
      <c r="B178" s="2" t="s">
        <v>1483</v>
      </c>
      <c r="C178" s="2"/>
      <c r="D178" s="2" t="s">
        <v>1484</v>
      </c>
      <c r="E178" s="2" t="s">
        <v>55</v>
      </c>
      <c r="F178" s="2" t="s">
        <v>38</v>
      </c>
      <c r="G178" s="2" t="s">
        <v>39</v>
      </c>
      <c r="H178" s="2" t="s">
        <v>40</v>
      </c>
      <c r="I178" s="2" t="s">
        <v>40</v>
      </c>
      <c r="J178" s="2" t="s">
        <v>1485</v>
      </c>
      <c r="K178" s="2" t="s">
        <v>42</v>
      </c>
      <c r="L178" s="2" t="s">
        <v>43</v>
      </c>
      <c r="M178" s="2" t="s">
        <v>44</v>
      </c>
      <c r="N178" s="2"/>
      <c r="O178" s="2" t="n">
        <v>7.878349</v>
      </c>
      <c r="P178" s="2" t="n">
        <v>98.380698</v>
      </c>
      <c r="Q178" s="2"/>
      <c r="R178" s="2" t="s">
        <v>1486</v>
      </c>
      <c r="S178" s="2"/>
      <c r="T178" s="2"/>
      <c r="U178" s="2" t="s">
        <v>1487</v>
      </c>
      <c r="V178" s="2"/>
      <c r="W178" s="2" t="s">
        <v>834</v>
      </c>
      <c r="X178" s="2"/>
      <c r="Y178" s="2" t="s">
        <v>48</v>
      </c>
      <c r="Z178" s="3" t="s">
        <v>1488</v>
      </c>
      <c r="AA178" s="2" t="s">
        <v>40</v>
      </c>
      <c r="AB178" s="2" t="s">
        <v>50</v>
      </c>
      <c r="AC178" s="2" t="n">
        <v>0</v>
      </c>
      <c r="AD178" s="2" t="n">
        <v>604</v>
      </c>
      <c r="AE178" s="2" t="n">
        <v>1</v>
      </c>
      <c r="AF178" s="2"/>
      <c r="AG178" s="2" t="s">
        <v>1489</v>
      </c>
      <c r="AH178" s="2" t="s">
        <v>1490</v>
      </c>
      <c r="AI178" s="2" t="n">
        <v>0</v>
      </c>
    </row>
    <row r="179" customFormat="false" ht="15" hidden="false" customHeight="false" outlineLevel="0" collapsed="false">
      <c r="A179" s="2" t="n">
        <v>91377</v>
      </c>
      <c r="B179" s="2" t="s">
        <v>1491</v>
      </c>
      <c r="C179" s="2"/>
      <c r="D179" s="2" t="s">
        <v>1492</v>
      </c>
      <c r="E179" s="2" t="s">
        <v>37</v>
      </c>
      <c r="F179" s="2" t="s">
        <v>38</v>
      </c>
      <c r="G179" s="2" t="s">
        <v>39</v>
      </c>
      <c r="H179" s="2" t="s">
        <v>40</v>
      </c>
      <c r="I179" s="2" t="s">
        <v>40</v>
      </c>
      <c r="J179" s="2" t="s">
        <v>1493</v>
      </c>
      <c r="K179" s="2" t="s">
        <v>42</v>
      </c>
      <c r="L179" s="2" t="s">
        <v>43</v>
      </c>
      <c r="M179" s="2" t="s">
        <v>44</v>
      </c>
      <c r="N179" s="2"/>
      <c r="O179" s="2" t="n">
        <v>7.882942</v>
      </c>
      <c r="P179" s="2" t="n">
        <v>98.380528</v>
      </c>
      <c r="Q179" s="2"/>
      <c r="R179" s="2" t="s">
        <v>1494</v>
      </c>
      <c r="S179" s="2"/>
      <c r="T179" s="2"/>
      <c r="U179" s="2" t="s">
        <v>1495</v>
      </c>
      <c r="V179" s="2"/>
      <c r="W179" s="2" t="s">
        <v>1496</v>
      </c>
      <c r="X179" s="2"/>
      <c r="Y179" s="2" t="s">
        <v>48</v>
      </c>
      <c r="Z179" s="3" t="s">
        <v>1497</v>
      </c>
      <c r="AA179" s="2" t="s">
        <v>40</v>
      </c>
      <c r="AB179" s="2" t="s">
        <v>50</v>
      </c>
      <c r="AC179" s="2" t="n">
        <v>0</v>
      </c>
      <c r="AD179" s="2" t="n">
        <v>549</v>
      </c>
      <c r="AE179" s="2" t="n">
        <v>0</v>
      </c>
      <c r="AF179" s="2"/>
      <c r="AG179" s="2" t="s">
        <v>1498</v>
      </c>
      <c r="AH179" s="2" t="s">
        <v>1499</v>
      </c>
      <c r="AI179" s="2" t="n">
        <v>0</v>
      </c>
    </row>
    <row r="180" customFormat="false" ht="15" hidden="false" customHeight="false" outlineLevel="0" collapsed="false">
      <c r="A180" s="2" t="n">
        <v>91306</v>
      </c>
      <c r="B180" s="2" t="s">
        <v>1500</v>
      </c>
      <c r="C180" s="2"/>
      <c r="D180" s="2" t="s">
        <v>1501</v>
      </c>
      <c r="E180" s="2" t="s">
        <v>117</v>
      </c>
      <c r="F180" s="2" t="s">
        <v>38</v>
      </c>
      <c r="G180" s="2" t="s">
        <v>39</v>
      </c>
      <c r="H180" s="2" t="s">
        <v>40</v>
      </c>
      <c r="I180" s="2" t="s">
        <v>40</v>
      </c>
      <c r="J180" s="2" t="s">
        <v>77</v>
      </c>
      <c r="K180" s="2" t="s">
        <v>78</v>
      </c>
      <c r="L180" s="2" t="s">
        <v>43</v>
      </c>
      <c r="M180" s="2" t="s">
        <v>44</v>
      </c>
      <c r="N180" s="2"/>
      <c r="O180" s="2" t="n">
        <v>7.904935</v>
      </c>
      <c r="P180" s="2" t="n">
        <v>98.368432</v>
      </c>
      <c r="Q180" s="2"/>
      <c r="R180" s="2" t="s">
        <v>1502</v>
      </c>
      <c r="S180" s="2"/>
      <c r="T180" s="2"/>
      <c r="U180" s="2" t="s">
        <v>1503</v>
      </c>
      <c r="V180" s="2"/>
      <c r="W180" s="2" t="s">
        <v>452</v>
      </c>
      <c r="X180" s="2"/>
      <c r="Y180" s="2" t="s">
        <v>48</v>
      </c>
      <c r="Z180" s="3" t="s">
        <v>1504</v>
      </c>
      <c r="AA180" s="2" t="s">
        <v>40</v>
      </c>
      <c r="AB180" s="2" t="s">
        <v>50</v>
      </c>
      <c r="AC180" s="2" t="n">
        <v>0</v>
      </c>
      <c r="AD180" s="2" t="n">
        <v>616</v>
      </c>
      <c r="AE180" s="2" t="n">
        <v>1</v>
      </c>
      <c r="AF180" s="2"/>
      <c r="AG180" s="2" t="s">
        <v>1505</v>
      </c>
      <c r="AH180" s="2" t="s">
        <v>1506</v>
      </c>
      <c r="AI180" s="2" t="n">
        <v>0</v>
      </c>
    </row>
    <row r="181" customFormat="false" ht="15" hidden="false" customHeight="false" outlineLevel="0" collapsed="false">
      <c r="A181" s="2" t="n">
        <v>90931</v>
      </c>
      <c r="B181" s="2" t="s">
        <v>1507</v>
      </c>
      <c r="C181" s="2"/>
      <c r="D181" s="2" t="s">
        <v>76</v>
      </c>
      <c r="E181" s="2" t="s">
        <v>37</v>
      </c>
      <c r="F181" s="2" t="s">
        <v>38</v>
      </c>
      <c r="G181" s="2" t="s">
        <v>39</v>
      </c>
      <c r="H181" s="2" t="s">
        <v>40</v>
      </c>
      <c r="I181" s="2" t="s">
        <v>40</v>
      </c>
      <c r="J181" s="2" t="s">
        <v>1508</v>
      </c>
      <c r="K181" s="2" t="s">
        <v>399</v>
      </c>
      <c r="L181" s="2" t="s">
        <v>43</v>
      </c>
      <c r="M181" s="2" t="s">
        <v>44</v>
      </c>
      <c r="N181" s="2"/>
      <c r="O181" s="2" t="n">
        <v>7.8367218</v>
      </c>
      <c r="P181" s="2" t="n">
        <v>98.2952214</v>
      </c>
      <c r="Q181" s="2" t="s">
        <v>483</v>
      </c>
      <c r="R181" s="2"/>
      <c r="S181" s="2"/>
      <c r="T181" s="2"/>
      <c r="U181" s="2" t="s">
        <v>1509</v>
      </c>
      <c r="V181" s="2"/>
      <c r="W181" s="2" t="s">
        <v>452</v>
      </c>
      <c r="X181" s="2"/>
      <c r="Y181" s="2" t="s">
        <v>48</v>
      </c>
      <c r="Z181" s="3" t="s">
        <v>1510</v>
      </c>
      <c r="AA181" s="2" t="s">
        <v>40</v>
      </c>
      <c r="AB181" s="2" t="s">
        <v>50</v>
      </c>
      <c r="AC181" s="2" t="n">
        <v>0</v>
      </c>
      <c r="AD181" s="2" t="n">
        <v>585</v>
      </c>
      <c r="AE181" s="2" t="n">
        <v>1</v>
      </c>
      <c r="AF181" s="2"/>
      <c r="AG181" s="2" t="s">
        <v>1511</v>
      </c>
      <c r="AH181" s="2" t="s">
        <v>1512</v>
      </c>
      <c r="AI181" s="2" t="n">
        <v>0</v>
      </c>
    </row>
    <row r="182" customFormat="false" ht="15" hidden="false" customHeight="false" outlineLevel="0" collapsed="false">
      <c r="A182" s="2" t="n">
        <v>90873</v>
      </c>
      <c r="B182" s="2" t="s">
        <v>1513</v>
      </c>
      <c r="C182" s="2"/>
      <c r="D182" s="2" t="s">
        <v>1514</v>
      </c>
      <c r="E182" s="2" t="s">
        <v>37</v>
      </c>
      <c r="F182" s="2" t="s">
        <v>38</v>
      </c>
      <c r="G182" s="2" t="s">
        <v>39</v>
      </c>
      <c r="H182" s="2" t="s">
        <v>40</v>
      </c>
      <c r="I182" s="2" t="s">
        <v>40</v>
      </c>
      <c r="J182" s="2" t="s">
        <v>1515</v>
      </c>
      <c r="K182" s="2" t="s">
        <v>42</v>
      </c>
      <c r="L182" s="2" t="s">
        <v>43</v>
      </c>
      <c r="M182" s="2" t="s">
        <v>44</v>
      </c>
      <c r="N182" s="2"/>
      <c r="O182" s="2" t="n">
        <v>7.888606</v>
      </c>
      <c r="P182" s="2" t="n">
        <v>98.383824</v>
      </c>
      <c r="Q182" s="2"/>
      <c r="R182" s="2" t="s">
        <v>1516</v>
      </c>
      <c r="S182" s="2"/>
      <c r="T182" s="2"/>
      <c r="U182" s="2" t="s">
        <v>1517</v>
      </c>
      <c r="V182" s="2"/>
      <c r="W182" s="2" t="s">
        <v>1518</v>
      </c>
      <c r="X182" s="2"/>
      <c r="Y182" s="2" t="s">
        <v>48</v>
      </c>
      <c r="Z182" s="3" t="s">
        <v>1519</v>
      </c>
      <c r="AA182" s="2" t="s">
        <v>40</v>
      </c>
      <c r="AB182" s="2" t="s">
        <v>50</v>
      </c>
      <c r="AC182" s="2" t="n">
        <v>0</v>
      </c>
      <c r="AD182" s="2" t="n">
        <v>613</v>
      </c>
      <c r="AE182" s="2" t="n">
        <v>0</v>
      </c>
      <c r="AF182" s="2"/>
      <c r="AG182" s="2" t="s">
        <v>1520</v>
      </c>
      <c r="AH182" s="2" t="s">
        <v>1521</v>
      </c>
      <c r="AI182" s="2" t="n">
        <v>0</v>
      </c>
    </row>
    <row r="183" customFormat="false" ht="15" hidden="false" customHeight="false" outlineLevel="0" collapsed="false">
      <c r="A183" s="2" t="n">
        <v>91181</v>
      </c>
      <c r="B183" s="2" t="s">
        <v>1522</v>
      </c>
      <c r="C183" s="2"/>
      <c r="D183" s="2" t="s">
        <v>1523</v>
      </c>
      <c r="E183" s="2" t="s">
        <v>117</v>
      </c>
      <c r="F183" s="2" t="s">
        <v>38</v>
      </c>
      <c r="G183" s="2" t="s">
        <v>39</v>
      </c>
      <c r="H183" s="2" t="s">
        <v>40</v>
      </c>
      <c r="I183" s="2" t="s">
        <v>40</v>
      </c>
      <c r="J183" s="2" t="s">
        <v>1524</v>
      </c>
      <c r="K183" s="2" t="s">
        <v>68</v>
      </c>
      <c r="L183" s="2" t="s">
        <v>43</v>
      </c>
      <c r="M183" s="2" t="s">
        <v>44</v>
      </c>
      <c r="N183" s="2"/>
      <c r="O183" s="2" t="n">
        <v>7.9014984</v>
      </c>
      <c r="P183" s="2" t="n">
        <v>98.3776703</v>
      </c>
      <c r="Q183" s="2"/>
      <c r="R183" s="2" t="s">
        <v>1525</v>
      </c>
      <c r="S183" s="2"/>
      <c r="T183" s="2"/>
      <c r="U183" s="2" t="s">
        <v>1526</v>
      </c>
      <c r="V183" s="2"/>
      <c r="W183" s="2" t="s">
        <v>567</v>
      </c>
      <c r="X183" s="2"/>
      <c r="Y183" s="2" t="s">
        <v>48</v>
      </c>
      <c r="Z183" s="3" t="s">
        <v>1527</v>
      </c>
      <c r="AA183" s="2" t="s">
        <v>40</v>
      </c>
      <c r="AB183" s="2" t="s">
        <v>50</v>
      </c>
      <c r="AC183" s="2" t="n">
        <v>0</v>
      </c>
      <c r="AD183" s="2" t="n">
        <v>504</v>
      </c>
      <c r="AE183" s="2" t="n">
        <v>1</v>
      </c>
      <c r="AF183" s="2"/>
      <c r="AG183" s="2" t="s">
        <v>1528</v>
      </c>
      <c r="AH183" s="2" t="s">
        <v>1529</v>
      </c>
      <c r="AI183" s="2" t="n">
        <v>0</v>
      </c>
    </row>
    <row r="184" customFormat="false" ht="15" hidden="false" customHeight="false" outlineLevel="0" collapsed="false">
      <c r="A184" s="2" t="n">
        <v>91468</v>
      </c>
      <c r="B184" s="2" t="s">
        <v>1530</v>
      </c>
      <c r="C184" s="2"/>
      <c r="D184" s="2" t="s">
        <v>227</v>
      </c>
      <c r="E184" s="2" t="s">
        <v>37</v>
      </c>
      <c r="F184" s="2" t="s">
        <v>38</v>
      </c>
      <c r="G184" s="2" t="s">
        <v>39</v>
      </c>
      <c r="H184" s="2" t="s">
        <v>40</v>
      </c>
      <c r="I184" s="2" t="s">
        <v>40</v>
      </c>
      <c r="J184" s="2" t="s">
        <v>1531</v>
      </c>
      <c r="K184" s="2" t="s">
        <v>68</v>
      </c>
      <c r="L184" s="2" t="s">
        <v>43</v>
      </c>
      <c r="M184" s="2" t="s">
        <v>44</v>
      </c>
      <c r="N184" s="2"/>
      <c r="O184" s="2" t="n">
        <v>7.8811079</v>
      </c>
      <c r="P184" s="2" t="n">
        <v>98.3886996</v>
      </c>
      <c r="Q184" s="2"/>
      <c r="R184" s="2" t="s">
        <v>1532</v>
      </c>
      <c r="S184" s="2"/>
      <c r="T184" s="2"/>
      <c r="U184" s="2" t="s">
        <v>1533</v>
      </c>
      <c r="V184" s="2"/>
      <c r="W184" s="2" t="s">
        <v>485</v>
      </c>
      <c r="X184" s="2"/>
      <c r="Y184" s="2" t="s">
        <v>48</v>
      </c>
      <c r="Z184" s="3" t="s">
        <v>1534</v>
      </c>
      <c r="AA184" s="2" t="s">
        <v>40</v>
      </c>
      <c r="AB184" s="2" t="s">
        <v>50</v>
      </c>
      <c r="AC184" s="2" t="n">
        <v>0</v>
      </c>
      <c r="AD184" s="2" t="n">
        <v>615</v>
      </c>
      <c r="AE184" s="2" t="n">
        <v>1</v>
      </c>
      <c r="AF184" s="2"/>
      <c r="AG184" s="2" t="s">
        <v>1535</v>
      </c>
      <c r="AH184" s="2" t="s">
        <v>1536</v>
      </c>
      <c r="AI184" s="2" t="n">
        <v>0</v>
      </c>
    </row>
    <row r="185" customFormat="false" ht="15" hidden="false" customHeight="false" outlineLevel="0" collapsed="false">
      <c r="A185" s="2" t="n">
        <v>91369</v>
      </c>
      <c r="B185" s="2" t="s">
        <v>1537</v>
      </c>
      <c r="C185" s="2"/>
      <c r="D185" s="2" t="s">
        <v>1538</v>
      </c>
      <c r="E185" s="2" t="s">
        <v>37</v>
      </c>
      <c r="F185" s="2" t="s">
        <v>38</v>
      </c>
      <c r="G185" s="2" t="s">
        <v>39</v>
      </c>
      <c r="H185" s="2" t="s">
        <v>40</v>
      </c>
      <c r="I185" s="2" t="s">
        <v>40</v>
      </c>
      <c r="J185" s="2" t="s">
        <v>1539</v>
      </c>
      <c r="K185" s="2" t="s">
        <v>42</v>
      </c>
      <c r="L185" s="2" t="s">
        <v>43</v>
      </c>
      <c r="M185" s="2" t="s">
        <v>44</v>
      </c>
      <c r="N185" s="2"/>
      <c r="O185" s="2" t="n">
        <v>7.8866101</v>
      </c>
      <c r="P185" s="2" t="n">
        <v>98.3856933</v>
      </c>
      <c r="Q185" s="2" t="s">
        <v>1540</v>
      </c>
      <c r="R185" s="2"/>
      <c r="S185" s="2"/>
      <c r="T185" s="2"/>
      <c r="U185" s="2" t="s">
        <v>1541</v>
      </c>
      <c r="V185" s="2"/>
      <c r="W185" s="2" t="s">
        <v>1542</v>
      </c>
      <c r="X185" s="2"/>
      <c r="Y185" s="2" t="s">
        <v>48</v>
      </c>
      <c r="Z185" s="3" t="s">
        <v>1543</v>
      </c>
      <c r="AA185" s="2" t="s">
        <v>40</v>
      </c>
      <c r="AB185" s="2" t="s">
        <v>50</v>
      </c>
      <c r="AC185" s="2" t="n">
        <v>0</v>
      </c>
      <c r="AD185" s="2" t="n">
        <v>788</v>
      </c>
      <c r="AE185" s="2" t="n">
        <v>1</v>
      </c>
      <c r="AF185" s="2"/>
      <c r="AG185" s="2" t="s">
        <v>1544</v>
      </c>
      <c r="AH185" s="2" t="s">
        <v>1545</v>
      </c>
      <c r="AI185" s="2" t="n">
        <v>0</v>
      </c>
    </row>
    <row r="186" customFormat="false" ht="15" hidden="false" customHeight="false" outlineLevel="0" collapsed="false">
      <c r="A186" s="2" t="n">
        <v>91280</v>
      </c>
      <c r="B186" s="2" t="s">
        <v>1546</v>
      </c>
      <c r="C186" s="2"/>
      <c r="D186" s="2" t="s">
        <v>1547</v>
      </c>
      <c r="E186" s="2" t="s">
        <v>55</v>
      </c>
      <c r="F186" s="2" t="s">
        <v>106</v>
      </c>
      <c r="G186" s="2" t="s">
        <v>39</v>
      </c>
      <c r="H186" s="2" t="s">
        <v>40</v>
      </c>
      <c r="I186" s="2" t="s">
        <v>40</v>
      </c>
      <c r="J186" s="2" t="s">
        <v>871</v>
      </c>
      <c r="K186" s="2" t="s">
        <v>108</v>
      </c>
      <c r="L186" s="2" t="s">
        <v>109</v>
      </c>
      <c r="M186" s="2" t="s">
        <v>44</v>
      </c>
      <c r="N186" s="2"/>
      <c r="O186" s="2" t="n">
        <v>7.9172199</v>
      </c>
      <c r="P186" s="2" t="n">
        <v>98.2844882</v>
      </c>
      <c r="Q186" s="2" t="s">
        <v>1548</v>
      </c>
      <c r="R186" s="2"/>
      <c r="S186" s="2"/>
      <c r="T186" s="2"/>
      <c r="U186" s="2" t="s">
        <v>951</v>
      </c>
      <c r="V186" s="2"/>
      <c r="W186" s="2" t="s">
        <v>1549</v>
      </c>
      <c r="X186" s="2"/>
      <c r="Y186" s="2" t="s">
        <v>48</v>
      </c>
      <c r="Z186" s="3" t="s">
        <v>1550</v>
      </c>
      <c r="AA186" s="2" t="s">
        <v>40</v>
      </c>
      <c r="AB186" s="2" t="s">
        <v>50</v>
      </c>
      <c r="AC186" s="2" t="n">
        <v>0</v>
      </c>
      <c r="AD186" s="2" t="n">
        <v>586</v>
      </c>
      <c r="AE186" s="2" t="n">
        <v>0</v>
      </c>
      <c r="AF186" s="2"/>
      <c r="AG186" s="2" t="s">
        <v>1551</v>
      </c>
      <c r="AH186" s="2" t="s">
        <v>1552</v>
      </c>
      <c r="AI186" s="2" t="n">
        <v>0</v>
      </c>
    </row>
    <row r="187" customFormat="false" ht="15" hidden="false" customHeight="false" outlineLevel="0" collapsed="false">
      <c r="A187" s="2" t="n">
        <v>91256</v>
      </c>
      <c r="B187" s="2" t="s">
        <v>1553</v>
      </c>
      <c r="C187" s="2"/>
      <c r="D187" s="2" t="s">
        <v>1554</v>
      </c>
      <c r="E187" s="2" t="s">
        <v>37</v>
      </c>
      <c r="F187" s="2" t="s">
        <v>129</v>
      </c>
      <c r="G187" s="2" t="s">
        <v>39</v>
      </c>
      <c r="H187" s="2" t="s">
        <v>40</v>
      </c>
      <c r="I187" s="2" t="s">
        <v>40</v>
      </c>
      <c r="J187" s="2" t="s">
        <v>1555</v>
      </c>
      <c r="K187" s="2" t="s">
        <v>108</v>
      </c>
      <c r="L187" s="2" t="s">
        <v>109</v>
      </c>
      <c r="M187" s="2" t="s">
        <v>44</v>
      </c>
      <c r="N187" s="2"/>
      <c r="O187" s="2" t="n">
        <v>7.89087</v>
      </c>
      <c r="P187" s="2" t="n">
        <v>98.293743</v>
      </c>
      <c r="Q187" s="2"/>
      <c r="R187" s="2" t="s">
        <v>1556</v>
      </c>
      <c r="S187" s="2"/>
      <c r="T187" s="2"/>
      <c r="U187" s="2" t="s">
        <v>1557</v>
      </c>
      <c r="V187" s="2"/>
      <c r="W187" s="2" t="s">
        <v>834</v>
      </c>
      <c r="X187" s="2"/>
      <c r="Y187" s="2" t="s">
        <v>48</v>
      </c>
      <c r="Z187" s="3" t="s">
        <v>1558</v>
      </c>
      <c r="AA187" s="2" t="s">
        <v>40</v>
      </c>
      <c r="AB187" s="2" t="s">
        <v>50</v>
      </c>
      <c r="AC187" s="2" t="n">
        <v>0</v>
      </c>
      <c r="AD187" s="2" t="n">
        <v>633</v>
      </c>
      <c r="AE187" s="2" t="n">
        <v>0</v>
      </c>
      <c r="AF187" s="2"/>
      <c r="AG187" s="2" t="s">
        <v>1559</v>
      </c>
      <c r="AH187" s="2" t="s">
        <v>1560</v>
      </c>
      <c r="AI187" s="2" t="n">
        <v>0</v>
      </c>
    </row>
    <row r="188" customFormat="false" ht="15" hidden="false" customHeight="false" outlineLevel="0" collapsed="false">
      <c r="A188" s="2" t="n">
        <v>92121</v>
      </c>
      <c r="B188" s="2" t="s">
        <v>1561</v>
      </c>
      <c r="C188" s="2"/>
      <c r="D188" s="2" t="s">
        <v>735</v>
      </c>
      <c r="E188" s="2" t="s">
        <v>37</v>
      </c>
      <c r="F188" s="2" t="s">
        <v>38</v>
      </c>
      <c r="G188" s="2" t="s">
        <v>39</v>
      </c>
      <c r="H188" s="2" t="s">
        <v>40</v>
      </c>
      <c r="I188" s="2" t="s">
        <v>40</v>
      </c>
      <c r="J188" s="2" t="s">
        <v>1562</v>
      </c>
      <c r="K188" s="2" t="s">
        <v>57</v>
      </c>
      <c r="L188" s="2" t="s">
        <v>58</v>
      </c>
      <c r="M188" s="2" t="s">
        <v>44</v>
      </c>
      <c r="N188" s="2"/>
      <c r="O188" s="2" t="n">
        <v>7.993937</v>
      </c>
      <c r="P188" s="2" t="n">
        <v>98.306506</v>
      </c>
      <c r="Q188" s="2"/>
      <c r="R188" s="2" t="s">
        <v>1563</v>
      </c>
      <c r="S188" s="2"/>
      <c r="T188" s="2"/>
      <c r="U188" s="2" t="s">
        <v>1564</v>
      </c>
      <c r="V188" s="2"/>
      <c r="W188" s="2" t="s">
        <v>1565</v>
      </c>
      <c r="X188" s="2"/>
      <c r="Y188" s="2" t="s">
        <v>48</v>
      </c>
      <c r="Z188" s="3" t="s">
        <v>1566</v>
      </c>
      <c r="AA188" s="2" t="s">
        <v>40</v>
      </c>
      <c r="AB188" s="2" t="s">
        <v>50</v>
      </c>
      <c r="AC188" s="2" t="n">
        <v>0</v>
      </c>
      <c r="AD188" s="2" t="n">
        <v>622</v>
      </c>
      <c r="AE188" s="2" t="n">
        <v>1</v>
      </c>
      <c r="AF188" s="2"/>
      <c r="AG188" s="2" t="s">
        <v>1567</v>
      </c>
      <c r="AH188" s="2" t="s">
        <v>1568</v>
      </c>
      <c r="AI188" s="2" t="n">
        <v>0</v>
      </c>
    </row>
    <row r="189" customFormat="false" ht="15" hidden="false" customHeight="false" outlineLevel="0" collapsed="false">
      <c r="A189" s="2" t="n">
        <v>91401</v>
      </c>
      <c r="B189" s="2" t="s">
        <v>1569</v>
      </c>
      <c r="C189" s="2"/>
      <c r="D189" s="2" t="s">
        <v>598</v>
      </c>
      <c r="E189" s="2" t="s">
        <v>117</v>
      </c>
      <c r="F189" s="2" t="s">
        <v>118</v>
      </c>
      <c r="G189" s="2" t="s">
        <v>39</v>
      </c>
      <c r="H189" s="2" t="s">
        <v>40</v>
      </c>
      <c r="I189" s="2" t="s">
        <v>40</v>
      </c>
      <c r="J189" s="2" t="s">
        <v>1570</v>
      </c>
      <c r="K189" s="2" t="s">
        <v>42</v>
      </c>
      <c r="L189" s="2" t="s">
        <v>43</v>
      </c>
      <c r="M189" s="2" t="s">
        <v>44</v>
      </c>
      <c r="N189" s="2"/>
      <c r="O189" s="2" t="n">
        <v>7.884628</v>
      </c>
      <c r="P189" s="2" t="n">
        <v>98.387519</v>
      </c>
      <c r="Q189" s="2"/>
      <c r="R189" s="2" t="s">
        <v>1571</v>
      </c>
      <c r="S189" s="2"/>
      <c r="T189" s="2"/>
      <c r="U189" s="2" t="s">
        <v>1572</v>
      </c>
      <c r="V189" s="2"/>
      <c r="W189" s="2" t="s">
        <v>1573</v>
      </c>
      <c r="X189" s="2"/>
      <c r="Y189" s="2" t="s">
        <v>48</v>
      </c>
      <c r="Z189" s="3" t="s">
        <v>1574</v>
      </c>
      <c r="AA189" s="2" t="s">
        <v>40</v>
      </c>
      <c r="AB189" s="2" t="s">
        <v>50</v>
      </c>
      <c r="AC189" s="2" t="n">
        <v>0</v>
      </c>
      <c r="AD189" s="2" t="n">
        <v>719</v>
      </c>
      <c r="AE189" s="2" t="n">
        <v>0</v>
      </c>
      <c r="AF189" s="2"/>
      <c r="AG189" s="2" t="s">
        <v>1575</v>
      </c>
      <c r="AH189" s="2" t="s">
        <v>1576</v>
      </c>
      <c r="AI189" s="2" t="n">
        <v>0</v>
      </c>
    </row>
    <row r="190" customFormat="false" ht="15" hidden="false" customHeight="false" outlineLevel="0" collapsed="false">
      <c r="A190" s="2" t="n">
        <v>91960</v>
      </c>
      <c r="B190" s="2" t="s">
        <v>1577</v>
      </c>
      <c r="C190" s="2"/>
      <c r="D190" s="2" t="s">
        <v>1183</v>
      </c>
      <c r="E190" s="2" t="s">
        <v>37</v>
      </c>
      <c r="F190" s="2" t="s">
        <v>38</v>
      </c>
      <c r="G190" s="2" t="s">
        <v>39</v>
      </c>
      <c r="H190" s="2" t="s">
        <v>40</v>
      </c>
      <c r="I190" s="2" t="s">
        <v>40</v>
      </c>
      <c r="J190" s="2" t="s">
        <v>1578</v>
      </c>
      <c r="K190" s="2" t="s">
        <v>68</v>
      </c>
      <c r="L190" s="2" t="s">
        <v>43</v>
      </c>
      <c r="M190" s="2" t="s">
        <v>44</v>
      </c>
      <c r="N190" s="2"/>
      <c r="O190" s="2" t="n">
        <v>7.883878</v>
      </c>
      <c r="P190" s="2" t="n">
        <v>98.38855</v>
      </c>
      <c r="Q190" s="2" t="s">
        <v>1579</v>
      </c>
      <c r="R190" s="2"/>
      <c r="S190" s="2"/>
      <c r="T190" s="2"/>
      <c r="U190" s="2" t="s">
        <v>1580</v>
      </c>
      <c r="V190" s="2"/>
      <c r="W190" s="2" t="s">
        <v>292</v>
      </c>
      <c r="X190" s="2"/>
      <c r="Y190" s="2" t="s">
        <v>48</v>
      </c>
      <c r="Z190" s="3" t="s">
        <v>1581</v>
      </c>
      <c r="AA190" s="2" t="s">
        <v>40</v>
      </c>
      <c r="AB190" s="2" t="s">
        <v>50</v>
      </c>
      <c r="AC190" s="2" t="n">
        <v>0</v>
      </c>
      <c r="AD190" s="2" t="n">
        <v>754</v>
      </c>
      <c r="AE190" s="2" t="n">
        <v>0</v>
      </c>
      <c r="AF190" s="2"/>
      <c r="AG190" s="2" t="s">
        <v>1582</v>
      </c>
      <c r="AH190" s="2" t="s">
        <v>1583</v>
      </c>
      <c r="AI190" s="2" t="n">
        <v>0</v>
      </c>
    </row>
    <row r="191" customFormat="false" ht="15" hidden="false" customHeight="false" outlineLevel="0" collapsed="false">
      <c r="A191" s="2" t="n">
        <v>91171</v>
      </c>
      <c r="B191" s="2" t="s">
        <v>1584</v>
      </c>
      <c r="C191" s="2"/>
      <c r="D191" s="2" t="s">
        <v>1585</v>
      </c>
      <c r="E191" s="2" t="s">
        <v>55</v>
      </c>
      <c r="F191" s="2" t="s">
        <v>106</v>
      </c>
      <c r="G191" s="2" t="s">
        <v>39</v>
      </c>
      <c r="H191" s="2" t="s">
        <v>40</v>
      </c>
      <c r="I191" s="2" t="s">
        <v>40</v>
      </c>
      <c r="J191" s="2" t="s">
        <v>1586</v>
      </c>
      <c r="K191" s="2" t="s">
        <v>68</v>
      </c>
      <c r="L191" s="2" t="s">
        <v>43</v>
      </c>
      <c r="M191" s="2" t="s">
        <v>44</v>
      </c>
      <c r="N191" s="2"/>
      <c r="O191" s="2" t="n">
        <v>7.8799178</v>
      </c>
      <c r="P191" s="2" t="n">
        <v>98.3968739</v>
      </c>
      <c r="Q191" s="2" t="s">
        <v>1587</v>
      </c>
      <c r="R191" s="2"/>
      <c r="S191" s="2"/>
      <c r="T191" s="2"/>
      <c r="U191" s="2" t="s">
        <v>1588</v>
      </c>
      <c r="V191" s="2"/>
      <c r="W191" s="2" t="s">
        <v>635</v>
      </c>
      <c r="X191" s="2"/>
      <c r="Y191" s="2" t="s">
        <v>48</v>
      </c>
      <c r="Z191" s="3" t="s">
        <v>1589</v>
      </c>
      <c r="AA191" s="2" t="s">
        <v>40</v>
      </c>
      <c r="AB191" s="2" t="s">
        <v>50</v>
      </c>
      <c r="AC191" s="2" t="n">
        <v>0</v>
      </c>
      <c r="AD191" s="2" t="n">
        <v>767</v>
      </c>
      <c r="AE191" s="2" t="n">
        <v>1</v>
      </c>
      <c r="AF191" s="2"/>
      <c r="AG191" s="2" t="s">
        <v>1590</v>
      </c>
      <c r="AH191" s="2" t="s">
        <v>1591</v>
      </c>
      <c r="AI191" s="2" t="n">
        <v>0</v>
      </c>
    </row>
    <row r="192" customFormat="false" ht="15" hidden="false" customHeight="false" outlineLevel="0" collapsed="false">
      <c r="A192" s="2" t="n">
        <v>90843</v>
      </c>
      <c r="B192" s="2" t="s">
        <v>1592</v>
      </c>
      <c r="C192" s="2"/>
      <c r="D192" s="2" t="s">
        <v>116</v>
      </c>
      <c r="E192" s="2" t="s">
        <v>37</v>
      </c>
      <c r="F192" s="2" t="s">
        <v>38</v>
      </c>
      <c r="G192" s="2" t="s">
        <v>39</v>
      </c>
      <c r="H192" s="2" t="s">
        <v>40</v>
      </c>
      <c r="I192" s="2" t="s">
        <v>40</v>
      </c>
      <c r="J192" s="2" t="s">
        <v>1593</v>
      </c>
      <c r="K192" s="2" t="s">
        <v>68</v>
      </c>
      <c r="L192" s="2" t="s">
        <v>43</v>
      </c>
      <c r="M192" s="2" t="s">
        <v>44</v>
      </c>
      <c r="N192" s="2"/>
      <c r="O192" s="2" t="n">
        <v>7.8802223</v>
      </c>
      <c r="P192" s="2" t="n">
        <v>98.3923116</v>
      </c>
      <c r="Q192" s="2" t="s">
        <v>1594</v>
      </c>
      <c r="R192" s="2"/>
      <c r="S192" s="2"/>
      <c r="T192" s="2"/>
      <c r="U192" s="2" t="s">
        <v>1595</v>
      </c>
      <c r="V192" s="2"/>
      <c r="W192" s="2" t="s">
        <v>936</v>
      </c>
      <c r="X192" s="2"/>
      <c r="Y192" s="2" t="s">
        <v>48</v>
      </c>
      <c r="Z192" s="3" t="s">
        <v>1596</v>
      </c>
      <c r="AA192" s="2" t="s">
        <v>40</v>
      </c>
      <c r="AB192" s="2" t="s">
        <v>50</v>
      </c>
      <c r="AC192" s="2" t="n">
        <v>0</v>
      </c>
      <c r="AD192" s="2" t="n">
        <v>748</v>
      </c>
      <c r="AE192" s="2" t="n">
        <v>0</v>
      </c>
      <c r="AF192" s="2"/>
      <c r="AG192" s="2" t="s">
        <v>1597</v>
      </c>
      <c r="AH192" s="2" t="s">
        <v>1598</v>
      </c>
      <c r="AI192" s="2" t="n">
        <v>0</v>
      </c>
    </row>
    <row r="193" customFormat="false" ht="15" hidden="false" customHeight="false" outlineLevel="0" collapsed="false">
      <c r="A193" s="2" t="n">
        <v>91271</v>
      </c>
      <c r="B193" s="2" t="s">
        <v>1599</v>
      </c>
      <c r="C193" s="2"/>
      <c r="D193" s="2" t="s">
        <v>1600</v>
      </c>
      <c r="E193" s="2" t="s">
        <v>55</v>
      </c>
      <c r="F193" s="2" t="s">
        <v>106</v>
      </c>
      <c r="G193" s="2" t="s">
        <v>39</v>
      </c>
      <c r="H193" s="2" t="s">
        <v>40</v>
      </c>
      <c r="I193" s="2" t="s">
        <v>40</v>
      </c>
      <c r="J193" s="2" t="s">
        <v>1601</v>
      </c>
      <c r="K193" s="2" t="s">
        <v>42</v>
      </c>
      <c r="L193" s="2" t="s">
        <v>43</v>
      </c>
      <c r="M193" s="2" t="s">
        <v>44</v>
      </c>
      <c r="N193" s="2"/>
      <c r="O193" s="2" t="n">
        <v>7.882548</v>
      </c>
      <c r="P193" s="2" t="n">
        <v>98.388442</v>
      </c>
      <c r="Q193" s="2"/>
      <c r="R193" s="2" t="s">
        <v>1602</v>
      </c>
      <c r="S193" s="2"/>
      <c r="T193" s="2"/>
      <c r="U193" s="2" t="s">
        <v>1603</v>
      </c>
      <c r="V193" s="2"/>
      <c r="W193" s="2" t="s">
        <v>493</v>
      </c>
      <c r="X193" s="2"/>
      <c r="Y193" s="2" t="s">
        <v>48</v>
      </c>
      <c r="Z193" s="3" t="s">
        <v>1604</v>
      </c>
      <c r="AA193" s="2" t="s">
        <v>40</v>
      </c>
      <c r="AB193" s="2" t="s">
        <v>50</v>
      </c>
      <c r="AC193" s="2" t="n">
        <v>0</v>
      </c>
      <c r="AD193" s="2" t="n">
        <v>1080</v>
      </c>
      <c r="AE193" s="2" t="n">
        <v>0</v>
      </c>
      <c r="AF193" s="2"/>
      <c r="AG193" s="2" t="s">
        <v>1605</v>
      </c>
      <c r="AH193" s="2" t="s">
        <v>1606</v>
      </c>
      <c r="AI193" s="2" t="n">
        <v>0</v>
      </c>
    </row>
    <row r="194" customFormat="false" ht="15" hidden="false" customHeight="false" outlineLevel="0" collapsed="false">
      <c r="A194" s="2" t="n">
        <v>91172</v>
      </c>
      <c r="B194" s="2" t="s">
        <v>1607</v>
      </c>
      <c r="C194" s="2"/>
      <c r="D194" s="2" t="s">
        <v>814</v>
      </c>
      <c r="E194" s="2" t="s">
        <v>55</v>
      </c>
      <c r="F194" s="2" t="s">
        <v>38</v>
      </c>
      <c r="G194" s="2" t="s">
        <v>39</v>
      </c>
      <c r="H194" s="2" t="s">
        <v>40</v>
      </c>
      <c r="I194" s="2" t="s">
        <v>40</v>
      </c>
      <c r="J194" s="2" t="s">
        <v>1608</v>
      </c>
      <c r="K194" s="2" t="s">
        <v>109</v>
      </c>
      <c r="L194" s="2" t="s">
        <v>109</v>
      </c>
      <c r="M194" s="2" t="s">
        <v>44</v>
      </c>
      <c r="N194" s="2"/>
      <c r="O194" s="2" t="n">
        <v>7.893929</v>
      </c>
      <c r="P194" s="2" t="n">
        <v>98.301679</v>
      </c>
      <c r="Q194" s="2" t="s">
        <v>1609</v>
      </c>
      <c r="R194" s="2"/>
      <c r="S194" s="2"/>
      <c r="T194" s="2"/>
      <c r="U194" s="2" t="s">
        <v>1610</v>
      </c>
      <c r="V194" s="2"/>
      <c r="W194" s="2" t="s">
        <v>418</v>
      </c>
      <c r="X194" s="2"/>
      <c r="Y194" s="2" t="s">
        <v>48</v>
      </c>
      <c r="Z194" s="3" t="s">
        <v>1611</v>
      </c>
      <c r="AA194" s="2" t="s">
        <v>40</v>
      </c>
      <c r="AB194" s="2" t="s">
        <v>50</v>
      </c>
      <c r="AC194" s="2" t="n">
        <v>0</v>
      </c>
      <c r="AD194" s="2" t="n">
        <v>756</v>
      </c>
      <c r="AE194" s="2" t="n">
        <v>1</v>
      </c>
      <c r="AF194" s="2"/>
      <c r="AG194" s="2" t="s">
        <v>1612</v>
      </c>
      <c r="AH194" s="2" t="s">
        <v>1613</v>
      </c>
      <c r="AI194" s="2" t="n">
        <v>0</v>
      </c>
    </row>
    <row r="195" customFormat="false" ht="15" hidden="false" customHeight="false" outlineLevel="0" collapsed="false">
      <c r="A195" s="2" t="n">
        <v>91448</v>
      </c>
      <c r="B195" s="2" t="s">
        <v>1614</v>
      </c>
      <c r="C195" s="2"/>
      <c r="D195" s="2" t="s">
        <v>1615</v>
      </c>
      <c r="E195" s="2" t="s">
        <v>279</v>
      </c>
      <c r="F195" s="2" t="s">
        <v>106</v>
      </c>
      <c r="G195" s="2" t="s">
        <v>39</v>
      </c>
      <c r="H195" s="2" t="s">
        <v>40</v>
      </c>
      <c r="I195" s="2" t="s">
        <v>40</v>
      </c>
      <c r="J195" s="2" t="s">
        <v>1616</v>
      </c>
      <c r="K195" s="2" t="s">
        <v>219</v>
      </c>
      <c r="L195" s="2" t="s">
        <v>43</v>
      </c>
      <c r="M195" s="2" t="s">
        <v>44</v>
      </c>
      <c r="N195" s="2"/>
      <c r="O195" s="2" t="n">
        <v>7.959057</v>
      </c>
      <c r="P195" s="2" t="n">
        <v>98.384165</v>
      </c>
      <c r="Q195" s="2" t="s">
        <v>1617</v>
      </c>
      <c r="R195" s="2"/>
      <c r="S195" s="2"/>
      <c r="T195" s="2"/>
      <c r="U195" s="2" t="s">
        <v>1618</v>
      </c>
      <c r="V195" s="2"/>
      <c r="W195" s="2" t="s">
        <v>1619</v>
      </c>
      <c r="X195" s="2"/>
      <c r="Y195" s="2" t="s">
        <v>48</v>
      </c>
      <c r="Z195" s="3" t="s">
        <v>1620</v>
      </c>
      <c r="AA195" s="2" t="s">
        <v>40</v>
      </c>
      <c r="AB195" s="2" t="s">
        <v>50</v>
      </c>
      <c r="AC195" s="2" t="n">
        <v>0</v>
      </c>
      <c r="AD195" s="2" t="n">
        <v>707</v>
      </c>
      <c r="AE195" s="2" t="n">
        <v>0</v>
      </c>
      <c r="AF195" s="2"/>
      <c r="AG195" s="2" t="s">
        <v>1621</v>
      </c>
      <c r="AH195" s="2" t="s">
        <v>1622</v>
      </c>
      <c r="AI195" s="2" t="n">
        <v>0</v>
      </c>
    </row>
    <row r="196" customFormat="false" ht="15" hidden="false" customHeight="false" outlineLevel="0" collapsed="false">
      <c r="A196" s="2" t="n">
        <v>90865</v>
      </c>
      <c r="B196" s="2" t="s">
        <v>1623</v>
      </c>
      <c r="C196" s="2"/>
      <c r="D196" s="2" t="s">
        <v>481</v>
      </c>
      <c r="E196" s="2" t="s">
        <v>37</v>
      </c>
      <c r="F196" s="2" t="s">
        <v>38</v>
      </c>
      <c r="G196" s="2" t="s">
        <v>39</v>
      </c>
      <c r="H196" s="2" t="s">
        <v>40</v>
      </c>
      <c r="I196" s="2" t="s">
        <v>40</v>
      </c>
      <c r="J196" s="2" t="s">
        <v>1624</v>
      </c>
      <c r="K196" s="2" t="s">
        <v>68</v>
      </c>
      <c r="L196" s="2" t="s">
        <v>43</v>
      </c>
      <c r="M196" s="2" t="s">
        <v>44</v>
      </c>
      <c r="N196" s="2"/>
      <c r="O196" s="2" t="n">
        <v>7.871965</v>
      </c>
      <c r="P196" s="2" t="n">
        <v>98.394208</v>
      </c>
      <c r="Q196" s="2"/>
      <c r="R196" s="2" t="s">
        <v>1625</v>
      </c>
      <c r="S196" s="2"/>
      <c r="T196" s="2"/>
      <c r="U196" s="2" t="s">
        <v>1626</v>
      </c>
      <c r="V196" s="2"/>
      <c r="W196" s="2" t="s">
        <v>1627</v>
      </c>
      <c r="X196" s="2"/>
      <c r="Y196" s="2" t="s">
        <v>48</v>
      </c>
      <c r="Z196" s="3" t="s">
        <v>1628</v>
      </c>
      <c r="AA196" s="2" t="s">
        <v>40</v>
      </c>
      <c r="AB196" s="2" t="s">
        <v>50</v>
      </c>
      <c r="AC196" s="2" t="n">
        <v>0</v>
      </c>
      <c r="AD196" s="2" t="n">
        <v>742</v>
      </c>
      <c r="AE196" s="2" t="n">
        <v>0</v>
      </c>
      <c r="AF196" s="2"/>
      <c r="AG196" s="2" t="s">
        <v>1629</v>
      </c>
      <c r="AH196" s="2" t="s">
        <v>1630</v>
      </c>
      <c r="AI196" s="2" t="n">
        <v>0</v>
      </c>
    </row>
    <row r="197" customFormat="false" ht="15" hidden="false" customHeight="false" outlineLevel="0" collapsed="false">
      <c r="A197" s="2" t="n">
        <v>90827</v>
      </c>
      <c r="B197" s="2" t="s">
        <v>1631</v>
      </c>
      <c r="C197" s="2"/>
      <c r="D197" s="2" t="s">
        <v>227</v>
      </c>
      <c r="E197" s="2" t="s">
        <v>37</v>
      </c>
      <c r="F197" s="2" t="s">
        <v>38</v>
      </c>
      <c r="G197" s="2" t="s">
        <v>39</v>
      </c>
      <c r="H197" s="2" t="s">
        <v>40</v>
      </c>
      <c r="I197" s="2" t="s">
        <v>40</v>
      </c>
      <c r="J197" s="2" t="s">
        <v>1632</v>
      </c>
      <c r="K197" s="2" t="s">
        <v>219</v>
      </c>
      <c r="L197" s="2" t="s">
        <v>43</v>
      </c>
      <c r="M197" s="2" t="s">
        <v>44</v>
      </c>
      <c r="N197" s="2"/>
      <c r="O197" s="2" t="n">
        <v>7.9441885</v>
      </c>
      <c r="P197" s="2" t="n">
        <v>98.3961185</v>
      </c>
      <c r="Q197" s="2"/>
      <c r="R197" s="2" t="s">
        <v>1633</v>
      </c>
      <c r="S197" s="2"/>
      <c r="T197" s="2"/>
      <c r="U197" s="2" t="s">
        <v>1634</v>
      </c>
      <c r="V197" s="2"/>
      <c r="W197" s="2" t="s">
        <v>1464</v>
      </c>
      <c r="X197" s="2"/>
      <c r="Y197" s="2" t="s">
        <v>48</v>
      </c>
      <c r="Z197" s="3" t="s">
        <v>1635</v>
      </c>
      <c r="AA197" s="2" t="s">
        <v>40</v>
      </c>
      <c r="AB197" s="2" t="s">
        <v>50</v>
      </c>
      <c r="AC197" s="2" t="n">
        <v>0</v>
      </c>
      <c r="AD197" s="2" t="n">
        <v>624</v>
      </c>
      <c r="AE197" s="2" t="n">
        <v>0</v>
      </c>
      <c r="AF197" s="2"/>
      <c r="AG197" s="2" t="s">
        <v>1636</v>
      </c>
      <c r="AH197" s="2" t="s">
        <v>1637</v>
      </c>
      <c r="AI197" s="2" t="n">
        <v>0</v>
      </c>
    </row>
    <row r="198" customFormat="false" ht="15" hidden="false" customHeight="false" outlineLevel="0" collapsed="false">
      <c r="A198" s="2" t="n">
        <v>91405</v>
      </c>
      <c r="B198" s="2" t="s">
        <v>1638</v>
      </c>
      <c r="C198" s="2"/>
      <c r="D198" s="2" t="s">
        <v>1639</v>
      </c>
      <c r="E198" s="2" t="s">
        <v>55</v>
      </c>
      <c r="F198" s="2" t="s">
        <v>106</v>
      </c>
      <c r="G198" s="2" t="s">
        <v>39</v>
      </c>
      <c r="H198" s="2" t="s">
        <v>40</v>
      </c>
      <c r="I198" s="2" t="s">
        <v>40</v>
      </c>
      <c r="J198" s="2" t="s">
        <v>1281</v>
      </c>
      <c r="K198" s="2" t="s">
        <v>68</v>
      </c>
      <c r="L198" s="2" t="s">
        <v>43</v>
      </c>
      <c r="M198" s="2" t="s">
        <v>44</v>
      </c>
      <c r="N198" s="2"/>
      <c r="O198" s="2" t="n">
        <v>7.8825947</v>
      </c>
      <c r="P198" s="2" t="n">
        <v>98.3906403</v>
      </c>
      <c r="Q198" s="2"/>
      <c r="R198" s="2" t="s">
        <v>1640</v>
      </c>
      <c r="S198" s="2"/>
      <c r="T198" s="2"/>
      <c r="U198" s="2" t="s">
        <v>1641</v>
      </c>
      <c r="V198" s="2"/>
      <c r="W198" s="2" t="s">
        <v>1642</v>
      </c>
      <c r="X198" s="2"/>
      <c r="Y198" s="2" t="s">
        <v>48</v>
      </c>
      <c r="Z198" s="3" t="s">
        <v>1643</v>
      </c>
      <c r="AA198" s="2" t="s">
        <v>40</v>
      </c>
      <c r="AB198" s="2" t="s">
        <v>50</v>
      </c>
      <c r="AC198" s="2" t="n">
        <v>0</v>
      </c>
      <c r="AD198" s="2" t="n">
        <v>1429</v>
      </c>
      <c r="AE198" s="2" t="n">
        <v>1</v>
      </c>
      <c r="AF198" s="2"/>
      <c r="AG198" s="2" t="s">
        <v>1644</v>
      </c>
      <c r="AH198" s="2" t="s">
        <v>1645</v>
      </c>
      <c r="AI198" s="2" t="n">
        <v>0</v>
      </c>
    </row>
    <row r="199" customFormat="false" ht="15" hidden="false" customHeight="false" outlineLevel="0" collapsed="false">
      <c r="A199" s="2" t="n">
        <v>91464</v>
      </c>
      <c r="B199" s="2" t="s">
        <v>1646</v>
      </c>
      <c r="C199" s="2"/>
      <c r="D199" s="2" t="s">
        <v>1647</v>
      </c>
      <c r="E199" s="2" t="s">
        <v>37</v>
      </c>
      <c r="F199" s="2" t="s">
        <v>38</v>
      </c>
      <c r="G199" s="2" t="s">
        <v>39</v>
      </c>
      <c r="H199" s="2" t="s">
        <v>40</v>
      </c>
      <c r="I199" s="2" t="s">
        <v>40</v>
      </c>
      <c r="J199" s="2" t="s">
        <v>1648</v>
      </c>
      <c r="K199" s="2" t="s">
        <v>131</v>
      </c>
      <c r="L199" s="2" t="s">
        <v>58</v>
      </c>
      <c r="M199" s="2" t="s">
        <v>44</v>
      </c>
      <c r="N199" s="2"/>
      <c r="O199" s="2" t="n">
        <v>8.1011292</v>
      </c>
      <c r="P199" s="2" t="n">
        <v>98.305941</v>
      </c>
      <c r="Q199" s="2"/>
      <c r="R199" s="2" t="s">
        <v>1649</v>
      </c>
      <c r="S199" s="2"/>
      <c r="T199" s="2"/>
      <c r="U199" s="2" t="s">
        <v>1650</v>
      </c>
      <c r="V199" s="2"/>
      <c r="W199" s="2" t="s">
        <v>1651</v>
      </c>
      <c r="X199" s="2"/>
      <c r="Y199" s="2" t="s">
        <v>48</v>
      </c>
      <c r="Z199" s="3" t="s">
        <v>1652</v>
      </c>
      <c r="AA199" s="2" t="s">
        <v>40</v>
      </c>
      <c r="AB199" s="2" t="s">
        <v>50</v>
      </c>
      <c r="AC199" s="2" t="n">
        <v>0</v>
      </c>
      <c r="AD199" s="2" t="n">
        <v>696</v>
      </c>
      <c r="AE199" s="2" t="n">
        <v>0</v>
      </c>
      <c r="AF199" s="2"/>
      <c r="AG199" s="2" t="s">
        <v>1653</v>
      </c>
      <c r="AH199" s="2" t="s">
        <v>1654</v>
      </c>
      <c r="AI199" s="2" t="n">
        <v>0</v>
      </c>
    </row>
    <row r="200" customFormat="false" ht="15" hidden="false" customHeight="false" outlineLevel="0" collapsed="false">
      <c r="A200" s="2" t="n">
        <v>91130</v>
      </c>
      <c r="B200" s="2" t="s">
        <v>1655</v>
      </c>
      <c r="C200" s="2"/>
      <c r="D200" s="2" t="s">
        <v>116</v>
      </c>
      <c r="E200" s="2" t="s">
        <v>117</v>
      </c>
      <c r="F200" s="2" t="s">
        <v>118</v>
      </c>
      <c r="G200" s="2" t="s">
        <v>39</v>
      </c>
      <c r="H200" s="2" t="s">
        <v>40</v>
      </c>
      <c r="I200" s="2" t="s">
        <v>40</v>
      </c>
      <c r="J200" s="2" t="s">
        <v>1656</v>
      </c>
      <c r="K200" s="2" t="s">
        <v>42</v>
      </c>
      <c r="L200" s="2" t="s">
        <v>43</v>
      </c>
      <c r="M200" s="2" t="s">
        <v>44</v>
      </c>
      <c r="N200" s="2"/>
      <c r="O200" s="2" t="n">
        <v>7.88639</v>
      </c>
      <c r="P200" s="2" t="n">
        <v>98.385886</v>
      </c>
      <c r="Q200" s="2"/>
      <c r="R200" s="2" t="s">
        <v>1657</v>
      </c>
      <c r="S200" s="2"/>
      <c r="T200" s="2"/>
      <c r="U200" s="2" t="s">
        <v>1658</v>
      </c>
      <c r="V200" s="2"/>
      <c r="W200" s="2" t="s">
        <v>1338</v>
      </c>
      <c r="X200" s="2"/>
      <c r="Y200" s="2" t="s">
        <v>48</v>
      </c>
      <c r="Z200" s="3" t="s">
        <v>1659</v>
      </c>
      <c r="AA200" s="2" t="s">
        <v>40</v>
      </c>
      <c r="AB200" s="2" t="s">
        <v>50</v>
      </c>
      <c r="AC200" s="2" t="n">
        <v>0</v>
      </c>
      <c r="AD200" s="2" t="n">
        <v>748</v>
      </c>
      <c r="AE200" s="2" t="n">
        <v>0</v>
      </c>
      <c r="AF200" s="2"/>
      <c r="AG200" s="2" t="s">
        <v>1660</v>
      </c>
      <c r="AH200" s="2" t="s">
        <v>1661</v>
      </c>
      <c r="AI200" s="2" t="n">
        <v>0</v>
      </c>
    </row>
    <row r="201" customFormat="false" ht="15" hidden="false" customHeight="false" outlineLevel="0" collapsed="false">
      <c r="A201" s="2" t="n">
        <v>91433</v>
      </c>
      <c r="B201" s="2" t="s">
        <v>1662</v>
      </c>
      <c r="C201" s="2"/>
      <c r="D201" s="2" t="s">
        <v>1663</v>
      </c>
      <c r="E201" s="2" t="s">
        <v>55</v>
      </c>
      <c r="F201" s="2" t="s">
        <v>106</v>
      </c>
      <c r="G201" s="2" t="s">
        <v>39</v>
      </c>
      <c r="H201" s="2" t="s">
        <v>40</v>
      </c>
      <c r="I201" s="2" t="s">
        <v>40</v>
      </c>
      <c r="J201" s="2" t="s">
        <v>782</v>
      </c>
      <c r="K201" s="2" t="s">
        <v>474</v>
      </c>
      <c r="L201" s="2" t="s">
        <v>43</v>
      </c>
      <c r="M201" s="2" t="s">
        <v>44</v>
      </c>
      <c r="N201" s="2"/>
      <c r="O201" s="2" t="n">
        <v>7.8588974</v>
      </c>
      <c r="P201" s="2" t="n">
        <v>98.3419986</v>
      </c>
      <c r="Q201" s="2"/>
      <c r="R201" s="2"/>
      <c r="S201" s="2"/>
      <c r="T201" s="2"/>
      <c r="U201" s="2" t="s">
        <v>1664</v>
      </c>
      <c r="V201" s="2"/>
      <c r="W201" s="2" t="s">
        <v>1665</v>
      </c>
      <c r="X201" s="2"/>
      <c r="Y201" s="2" t="s">
        <v>48</v>
      </c>
      <c r="Z201" s="3" t="s">
        <v>1666</v>
      </c>
      <c r="AA201" s="2" t="s">
        <v>40</v>
      </c>
      <c r="AB201" s="2" t="s">
        <v>50</v>
      </c>
      <c r="AC201" s="2" t="n">
        <v>0</v>
      </c>
      <c r="AD201" s="2" t="n">
        <v>555</v>
      </c>
      <c r="AE201" s="2" t="n">
        <v>1</v>
      </c>
      <c r="AF201" s="2"/>
      <c r="AG201" s="2" t="s">
        <v>1667</v>
      </c>
      <c r="AH201" s="2" t="s">
        <v>1668</v>
      </c>
      <c r="AI201" s="2" t="n">
        <v>0</v>
      </c>
    </row>
    <row r="202" customFormat="false" ht="15" hidden="false" customHeight="false" outlineLevel="0" collapsed="false">
      <c r="A202" s="2" t="n">
        <v>91323</v>
      </c>
      <c r="B202" s="2" t="s">
        <v>1669</v>
      </c>
      <c r="C202" s="2"/>
      <c r="D202" s="2" t="s">
        <v>1670</v>
      </c>
      <c r="E202" s="2" t="s">
        <v>37</v>
      </c>
      <c r="F202" s="2" t="s">
        <v>38</v>
      </c>
      <c r="G202" s="2" t="s">
        <v>39</v>
      </c>
      <c r="H202" s="2" t="s">
        <v>40</v>
      </c>
      <c r="I202" s="2" t="s">
        <v>40</v>
      </c>
      <c r="J202" s="2" t="s">
        <v>140</v>
      </c>
      <c r="K202" s="2" t="s">
        <v>68</v>
      </c>
      <c r="L202" s="2" t="s">
        <v>43</v>
      </c>
      <c r="M202" s="2" t="s">
        <v>44</v>
      </c>
      <c r="N202" s="2"/>
      <c r="O202" s="2" t="n">
        <v>7.884978</v>
      </c>
      <c r="P202" s="2" t="n">
        <v>98.39087</v>
      </c>
      <c r="Q202" s="2" t="s">
        <v>1671</v>
      </c>
      <c r="R202" s="2"/>
      <c r="S202" s="2"/>
      <c r="T202" s="2"/>
      <c r="U202" s="2" t="s">
        <v>1672</v>
      </c>
      <c r="V202" s="2"/>
      <c r="W202" s="2" t="s">
        <v>292</v>
      </c>
      <c r="X202" s="2"/>
      <c r="Y202" s="2" t="s">
        <v>48</v>
      </c>
      <c r="Z202" s="3" t="s">
        <v>1673</v>
      </c>
      <c r="AA202" s="2" t="s">
        <v>40</v>
      </c>
      <c r="AB202" s="2" t="s">
        <v>50</v>
      </c>
      <c r="AC202" s="2" t="n">
        <v>0</v>
      </c>
      <c r="AD202" s="2" t="n">
        <v>529</v>
      </c>
      <c r="AE202" s="2" t="n">
        <v>0</v>
      </c>
      <c r="AF202" s="2"/>
      <c r="AG202" s="2" t="s">
        <v>1674</v>
      </c>
      <c r="AH202" s="2" t="s">
        <v>1675</v>
      </c>
      <c r="AI202" s="2" t="n">
        <v>0</v>
      </c>
    </row>
    <row r="203" customFormat="false" ht="15" hidden="false" customHeight="false" outlineLevel="0" collapsed="false">
      <c r="A203" s="2" t="n">
        <v>91303</v>
      </c>
      <c r="B203" s="2" t="s">
        <v>1676</v>
      </c>
      <c r="C203" s="2"/>
      <c r="D203" s="2" t="s">
        <v>1677</v>
      </c>
      <c r="E203" s="2" t="s">
        <v>37</v>
      </c>
      <c r="F203" s="2" t="s">
        <v>38</v>
      </c>
      <c r="G203" s="2" t="s">
        <v>39</v>
      </c>
      <c r="H203" s="2" t="s">
        <v>40</v>
      </c>
      <c r="I203" s="2" t="s">
        <v>40</v>
      </c>
      <c r="J203" s="2" t="s">
        <v>1678</v>
      </c>
      <c r="K203" s="2" t="s">
        <v>78</v>
      </c>
      <c r="L203" s="2" t="s">
        <v>43</v>
      </c>
      <c r="M203" s="2" t="s">
        <v>44</v>
      </c>
      <c r="N203" s="2"/>
      <c r="O203" s="2" t="n">
        <v>7.875423</v>
      </c>
      <c r="P203" s="2" t="n">
        <v>98.355687</v>
      </c>
      <c r="Q203" s="2"/>
      <c r="R203" s="2" t="s">
        <v>1679</v>
      </c>
      <c r="S203" s="2"/>
      <c r="T203" s="2"/>
      <c r="U203" s="2" t="s">
        <v>1680</v>
      </c>
      <c r="V203" s="2"/>
      <c r="W203" s="2" t="s">
        <v>1681</v>
      </c>
      <c r="X203" s="2"/>
      <c r="Y203" s="2" t="s">
        <v>48</v>
      </c>
      <c r="Z203" s="3" t="s">
        <v>1682</v>
      </c>
      <c r="AA203" s="2" t="s">
        <v>40</v>
      </c>
      <c r="AB203" s="2" t="s">
        <v>50</v>
      </c>
      <c r="AC203" s="2" t="n">
        <v>0</v>
      </c>
      <c r="AD203" s="2" t="n">
        <v>850</v>
      </c>
      <c r="AE203" s="2" t="n">
        <v>0</v>
      </c>
      <c r="AF203" s="2"/>
      <c r="AG203" s="2" t="s">
        <v>1683</v>
      </c>
      <c r="AH203" s="2" t="s">
        <v>1684</v>
      </c>
      <c r="AI203" s="2" t="n">
        <v>0</v>
      </c>
    </row>
    <row r="204" customFormat="false" ht="15" hidden="false" customHeight="false" outlineLevel="0" collapsed="false">
      <c r="A204" s="2" t="n">
        <v>91478</v>
      </c>
      <c r="B204" s="2" t="s">
        <v>1685</v>
      </c>
      <c r="C204" s="2"/>
      <c r="D204" s="2" t="s">
        <v>1686</v>
      </c>
      <c r="E204" s="2" t="s">
        <v>37</v>
      </c>
      <c r="F204" s="2" t="s">
        <v>38</v>
      </c>
      <c r="G204" s="2" t="s">
        <v>39</v>
      </c>
      <c r="H204" s="2" t="s">
        <v>40</v>
      </c>
      <c r="I204" s="2" t="s">
        <v>40</v>
      </c>
      <c r="J204" s="2" t="s">
        <v>539</v>
      </c>
      <c r="K204" s="2" t="s">
        <v>68</v>
      </c>
      <c r="L204" s="2" t="s">
        <v>43</v>
      </c>
      <c r="M204" s="2" t="s">
        <v>44</v>
      </c>
      <c r="N204" s="2"/>
      <c r="O204" s="2" t="n">
        <v>7.887004</v>
      </c>
      <c r="P204" s="2" t="n">
        <v>98.390571</v>
      </c>
      <c r="Q204" s="2" t="s">
        <v>1687</v>
      </c>
      <c r="R204" s="2"/>
      <c r="S204" s="2"/>
      <c r="T204" s="2"/>
      <c r="U204" s="2" t="s">
        <v>1688</v>
      </c>
      <c r="V204" s="2"/>
      <c r="W204" s="2" t="s">
        <v>593</v>
      </c>
      <c r="X204" s="2"/>
      <c r="Y204" s="2" t="s">
        <v>48</v>
      </c>
      <c r="Z204" s="3" t="s">
        <v>1689</v>
      </c>
      <c r="AA204" s="2" t="s">
        <v>40</v>
      </c>
      <c r="AB204" s="2" t="s">
        <v>50</v>
      </c>
      <c r="AC204" s="2" t="n">
        <v>0</v>
      </c>
      <c r="AD204" s="2" t="n">
        <v>550</v>
      </c>
      <c r="AE204" s="2" t="n">
        <v>0</v>
      </c>
      <c r="AF204" s="2"/>
      <c r="AG204" s="2" t="s">
        <v>1690</v>
      </c>
      <c r="AH204" s="2" t="s">
        <v>1691</v>
      </c>
      <c r="AI204" s="2" t="n">
        <v>0</v>
      </c>
    </row>
    <row r="205" customFormat="false" ht="15" hidden="false" customHeight="false" outlineLevel="0" collapsed="false">
      <c r="A205" s="2" t="n">
        <v>92112</v>
      </c>
      <c r="B205" s="2" t="s">
        <v>1692</v>
      </c>
      <c r="C205" s="2"/>
      <c r="D205" s="2" t="s">
        <v>878</v>
      </c>
      <c r="E205" s="2" t="s">
        <v>55</v>
      </c>
      <c r="F205" s="2" t="s">
        <v>129</v>
      </c>
      <c r="G205" s="2" t="s">
        <v>39</v>
      </c>
      <c r="H205" s="2" t="s">
        <v>40</v>
      </c>
      <c r="I205" s="2" t="s">
        <v>40</v>
      </c>
      <c r="J205" s="2" t="s">
        <v>514</v>
      </c>
      <c r="K205" s="2" t="s">
        <v>78</v>
      </c>
      <c r="L205" s="2" t="s">
        <v>43</v>
      </c>
      <c r="M205" s="2" t="s">
        <v>44</v>
      </c>
      <c r="N205" s="2"/>
      <c r="O205" s="2" t="n">
        <v>7.8937502</v>
      </c>
      <c r="P205" s="2" t="n">
        <v>98.3662293</v>
      </c>
      <c r="Q205" s="2" t="s">
        <v>1693</v>
      </c>
      <c r="R205" s="2"/>
      <c r="S205" s="2"/>
      <c r="T205" s="2"/>
      <c r="U205" s="2" t="s">
        <v>1694</v>
      </c>
      <c r="V205" s="2"/>
      <c r="W205" s="2" t="s">
        <v>292</v>
      </c>
      <c r="X205" s="2"/>
      <c r="Y205" s="2" t="s">
        <v>48</v>
      </c>
      <c r="Z205" s="3" t="s">
        <v>1695</v>
      </c>
      <c r="AA205" s="2" t="s">
        <v>40</v>
      </c>
      <c r="AB205" s="2" t="s">
        <v>50</v>
      </c>
      <c r="AC205" s="2" t="n">
        <v>0</v>
      </c>
      <c r="AD205" s="2" t="n">
        <v>697</v>
      </c>
      <c r="AE205" s="2" t="n">
        <v>0</v>
      </c>
      <c r="AF205" s="2"/>
      <c r="AG205" s="2" t="s">
        <v>1696</v>
      </c>
      <c r="AH205" s="2" t="s">
        <v>1697</v>
      </c>
      <c r="AI205" s="2" t="n">
        <v>0</v>
      </c>
    </row>
    <row r="206" customFormat="false" ht="15" hidden="false" customHeight="false" outlineLevel="0" collapsed="false">
      <c r="A206" s="2" t="n">
        <v>90807</v>
      </c>
      <c r="B206" s="2" t="s">
        <v>1698</v>
      </c>
      <c r="C206" s="2"/>
      <c r="D206" s="2" t="s">
        <v>66</v>
      </c>
      <c r="E206" s="2" t="s">
        <v>117</v>
      </c>
      <c r="F206" s="2" t="s">
        <v>38</v>
      </c>
      <c r="G206" s="2" t="s">
        <v>39</v>
      </c>
      <c r="H206" s="2" t="s">
        <v>40</v>
      </c>
      <c r="I206" s="2" t="s">
        <v>40</v>
      </c>
      <c r="J206" s="2" t="s">
        <v>1699</v>
      </c>
      <c r="K206" s="2" t="s">
        <v>68</v>
      </c>
      <c r="L206" s="2" t="s">
        <v>43</v>
      </c>
      <c r="M206" s="2" t="s">
        <v>44</v>
      </c>
      <c r="N206" s="2"/>
      <c r="O206" s="2" t="n">
        <v>7.8855059</v>
      </c>
      <c r="P206" s="2" t="n">
        <v>98.3892372</v>
      </c>
      <c r="Q206" s="2" t="s">
        <v>1700</v>
      </c>
      <c r="R206" s="2"/>
      <c r="S206" s="2"/>
      <c r="T206" s="2"/>
      <c r="U206" s="2" t="s">
        <v>1701</v>
      </c>
      <c r="V206" s="2"/>
      <c r="W206" s="2" t="s">
        <v>1702</v>
      </c>
      <c r="X206" s="2"/>
      <c r="Y206" s="2" t="s">
        <v>48</v>
      </c>
      <c r="Z206" s="3" t="s">
        <v>1703</v>
      </c>
      <c r="AA206" s="2" t="s">
        <v>40</v>
      </c>
      <c r="AB206" s="2" t="s">
        <v>50</v>
      </c>
      <c r="AC206" s="2" t="n">
        <v>0</v>
      </c>
      <c r="AD206" s="2" t="n">
        <v>1289</v>
      </c>
      <c r="AE206" s="2" t="n">
        <v>1</v>
      </c>
      <c r="AF206" s="2"/>
      <c r="AG206" s="2" t="s">
        <v>1704</v>
      </c>
      <c r="AH206" s="2" t="s">
        <v>1705</v>
      </c>
      <c r="AI206" s="2" t="n">
        <v>0</v>
      </c>
    </row>
    <row r="207" customFormat="false" ht="15" hidden="false" customHeight="false" outlineLevel="0" collapsed="false">
      <c r="A207" s="2" t="n">
        <v>90897</v>
      </c>
      <c r="B207" s="2" t="s">
        <v>1706</v>
      </c>
      <c r="C207" s="2"/>
      <c r="D207" s="2" t="s">
        <v>1707</v>
      </c>
      <c r="E207" s="2" t="s">
        <v>37</v>
      </c>
      <c r="F207" s="2" t="s">
        <v>106</v>
      </c>
      <c r="G207" s="2" t="s">
        <v>39</v>
      </c>
      <c r="H207" s="2" t="s">
        <v>40</v>
      </c>
      <c r="I207" s="2" t="s">
        <v>40</v>
      </c>
      <c r="J207" s="2" t="s">
        <v>1708</v>
      </c>
      <c r="K207" s="2" t="s">
        <v>68</v>
      </c>
      <c r="L207" s="2" t="s">
        <v>43</v>
      </c>
      <c r="M207" s="2" t="s">
        <v>44</v>
      </c>
      <c r="N207" s="2"/>
      <c r="O207" s="2" t="n">
        <v>7.900322</v>
      </c>
      <c r="P207" s="2" t="n">
        <v>98.382604</v>
      </c>
      <c r="Q207" s="2"/>
      <c r="R207" s="2" t="s">
        <v>1709</v>
      </c>
      <c r="S207" s="2"/>
      <c r="T207" s="2"/>
      <c r="U207" s="2" t="s">
        <v>1710</v>
      </c>
      <c r="V207" s="2"/>
      <c r="W207" s="2" t="s">
        <v>47</v>
      </c>
      <c r="X207" s="2"/>
      <c r="Y207" s="2" t="s">
        <v>48</v>
      </c>
      <c r="Z207" s="3" t="s">
        <v>1711</v>
      </c>
      <c r="AA207" s="2" t="s">
        <v>40</v>
      </c>
      <c r="AB207" s="2" t="s">
        <v>50</v>
      </c>
      <c r="AC207" s="2" t="n">
        <v>0</v>
      </c>
      <c r="AD207" s="2" t="n">
        <v>598</v>
      </c>
      <c r="AE207" s="2" t="n">
        <v>1</v>
      </c>
      <c r="AF207" s="2"/>
      <c r="AG207" s="2" t="s">
        <v>1712</v>
      </c>
      <c r="AH207" s="2" t="s">
        <v>1713</v>
      </c>
      <c r="AI207" s="2" t="n">
        <v>0</v>
      </c>
    </row>
    <row r="208" customFormat="false" ht="15" hidden="false" customHeight="false" outlineLevel="0" collapsed="false">
      <c r="A208" s="2" t="n">
        <v>90884</v>
      </c>
      <c r="B208" s="2" t="s">
        <v>1714</v>
      </c>
      <c r="C208" s="2"/>
      <c r="D208" s="2" t="s">
        <v>735</v>
      </c>
      <c r="E208" s="2" t="s">
        <v>55</v>
      </c>
      <c r="F208" s="2" t="s">
        <v>106</v>
      </c>
      <c r="G208" s="2" t="s">
        <v>39</v>
      </c>
      <c r="H208" s="2" t="s">
        <v>40</v>
      </c>
      <c r="I208" s="2" t="s">
        <v>40</v>
      </c>
      <c r="J208" s="2" t="s">
        <v>1715</v>
      </c>
      <c r="K208" s="2" t="s">
        <v>78</v>
      </c>
      <c r="L208" s="2" t="s">
        <v>43</v>
      </c>
      <c r="M208" s="2" t="s">
        <v>44</v>
      </c>
      <c r="N208" s="2"/>
      <c r="O208" s="2" t="n">
        <v>7.8809137</v>
      </c>
      <c r="P208" s="2" t="n">
        <v>98.3715798</v>
      </c>
      <c r="Q208" s="2" t="s">
        <v>1716</v>
      </c>
      <c r="R208" s="2"/>
      <c r="S208" s="2"/>
      <c r="T208" s="2"/>
      <c r="U208" s="2" t="s">
        <v>1717</v>
      </c>
      <c r="V208" s="2"/>
      <c r="W208" s="2" t="s">
        <v>1718</v>
      </c>
      <c r="X208" s="2"/>
      <c r="Y208" s="2" t="s">
        <v>48</v>
      </c>
      <c r="Z208" s="3" t="s">
        <v>1719</v>
      </c>
      <c r="AA208" s="2" t="s">
        <v>40</v>
      </c>
      <c r="AB208" s="2" t="s">
        <v>50</v>
      </c>
      <c r="AC208" s="2" t="n">
        <v>0</v>
      </c>
      <c r="AD208" s="2" t="n">
        <v>876</v>
      </c>
      <c r="AE208" s="2" t="n">
        <v>0</v>
      </c>
      <c r="AF208" s="2"/>
      <c r="AG208" s="2" t="s">
        <v>1720</v>
      </c>
      <c r="AH208" s="2" t="s">
        <v>1721</v>
      </c>
      <c r="AI208" s="2" t="n">
        <v>0</v>
      </c>
    </row>
    <row r="209" customFormat="false" ht="15" hidden="false" customHeight="false" outlineLevel="0" collapsed="false">
      <c r="A209" s="2" t="n">
        <v>91472</v>
      </c>
      <c r="B209" s="2" t="s">
        <v>1722</v>
      </c>
      <c r="C209" s="2"/>
      <c r="D209" s="2" t="s">
        <v>735</v>
      </c>
      <c r="E209" s="2" t="s">
        <v>55</v>
      </c>
      <c r="F209" s="2" t="s">
        <v>38</v>
      </c>
      <c r="G209" s="2" t="s">
        <v>39</v>
      </c>
      <c r="H209" s="2" t="s">
        <v>40</v>
      </c>
      <c r="I209" s="2" t="s">
        <v>40</v>
      </c>
      <c r="J209" s="2" t="s">
        <v>1401</v>
      </c>
      <c r="K209" s="2" t="s">
        <v>88</v>
      </c>
      <c r="L209" s="2" t="s">
        <v>43</v>
      </c>
      <c r="M209" s="2" t="s">
        <v>44</v>
      </c>
      <c r="N209" s="2"/>
      <c r="O209" s="2" t="n">
        <v>7.772037</v>
      </c>
      <c r="P209" s="2" t="n">
        <v>98.320853</v>
      </c>
      <c r="Q209" s="2" t="s">
        <v>1723</v>
      </c>
      <c r="R209" s="2"/>
      <c r="S209" s="2"/>
      <c r="T209" s="2"/>
      <c r="U209" s="2" t="s">
        <v>1724</v>
      </c>
      <c r="V209" s="2"/>
      <c r="W209" s="2" t="s">
        <v>452</v>
      </c>
      <c r="X209" s="2"/>
      <c r="Y209" s="2" t="s">
        <v>48</v>
      </c>
      <c r="Z209" s="3" t="s">
        <v>1725</v>
      </c>
      <c r="AA209" s="2" t="s">
        <v>40</v>
      </c>
      <c r="AB209" s="2" t="s">
        <v>50</v>
      </c>
      <c r="AC209" s="2" t="n">
        <v>0</v>
      </c>
      <c r="AD209" s="2" t="n">
        <v>948</v>
      </c>
      <c r="AE209" s="2" t="n">
        <v>1</v>
      </c>
      <c r="AF209" s="2"/>
      <c r="AG209" s="2" t="s">
        <v>1726</v>
      </c>
      <c r="AH209" s="2" t="s">
        <v>1727</v>
      </c>
      <c r="AI209" s="2" t="n">
        <v>0</v>
      </c>
    </row>
    <row r="210" customFormat="false" ht="15" hidden="false" customHeight="false" outlineLevel="0" collapsed="false">
      <c r="A210" s="2" t="n">
        <v>91955</v>
      </c>
      <c r="B210" s="2" t="s">
        <v>1728</v>
      </c>
      <c r="C210" s="2"/>
      <c r="D210" s="2" t="s">
        <v>1461</v>
      </c>
      <c r="E210" s="2" t="s">
        <v>117</v>
      </c>
      <c r="F210" s="2" t="s">
        <v>38</v>
      </c>
      <c r="G210" s="2" t="s">
        <v>39</v>
      </c>
      <c r="H210" s="2" t="s">
        <v>40</v>
      </c>
      <c r="I210" s="2" t="s">
        <v>40</v>
      </c>
      <c r="J210" s="2" t="s">
        <v>1729</v>
      </c>
      <c r="K210" s="2" t="s">
        <v>78</v>
      </c>
      <c r="L210" s="2" t="s">
        <v>43</v>
      </c>
      <c r="M210" s="2" t="s">
        <v>44</v>
      </c>
      <c r="N210" s="2"/>
      <c r="O210" s="2" t="n">
        <v>7.9068474</v>
      </c>
      <c r="P210" s="2" t="n">
        <v>98.3742893</v>
      </c>
      <c r="Q210" s="2"/>
      <c r="R210" s="2" t="s">
        <v>1730</v>
      </c>
      <c r="S210" s="2"/>
      <c r="T210" s="2"/>
      <c r="U210" s="2" t="s">
        <v>1731</v>
      </c>
      <c r="V210" s="2"/>
      <c r="W210" s="2" t="s">
        <v>81</v>
      </c>
      <c r="X210" s="2"/>
      <c r="Y210" s="2" t="s">
        <v>48</v>
      </c>
      <c r="Z210" s="3" t="s">
        <v>1732</v>
      </c>
      <c r="AA210" s="2" t="s">
        <v>40</v>
      </c>
      <c r="AB210" s="2" t="s">
        <v>50</v>
      </c>
      <c r="AC210" s="2" t="n">
        <v>0</v>
      </c>
      <c r="AD210" s="2" t="n">
        <v>787</v>
      </c>
      <c r="AE210" s="2" t="n">
        <v>1</v>
      </c>
      <c r="AF210" s="2"/>
      <c r="AG210" s="2" t="s">
        <v>1733</v>
      </c>
      <c r="AH210" s="2" t="s">
        <v>1734</v>
      </c>
      <c r="AI210" s="2" t="n">
        <v>0</v>
      </c>
    </row>
    <row r="211" customFormat="false" ht="15" hidden="false" customHeight="false" outlineLevel="0" collapsed="false">
      <c r="A211" s="2" t="n">
        <v>91135</v>
      </c>
      <c r="B211" s="2" t="s">
        <v>1735</v>
      </c>
      <c r="C211" s="2"/>
      <c r="D211" s="2" t="s">
        <v>116</v>
      </c>
      <c r="E211" s="2" t="s">
        <v>37</v>
      </c>
      <c r="F211" s="2" t="s">
        <v>38</v>
      </c>
      <c r="G211" s="2" t="s">
        <v>39</v>
      </c>
      <c r="H211" s="2" t="s">
        <v>40</v>
      </c>
      <c r="I211" s="2" t="s">
        <v>40</v>
      </c>
      <c r="J211" s="2" t="s">
        <v>1736</v>
      </c>
      <c r="K211" s="2" t="s">
        <v>68</v>
      </c>
      <c r="L211" s="2" t="s">
        <v>43</v>
      </c>
      <c r="M211" s="2" t="s">
        <v>44</v>
      </c>
      <c r="N211" s="2"/>
      <c r="O211" s="2" t="n">
        <v>7.8835538</v>
      </c>
      <c r="P211" s="2" t="n">
        <v>98.3874849</v>
      </c>
      <c r="Q211" s="2"/>
      <c r="R211" s="2" t="s">
        <v>1737</v>
      </c>
      <c r="S211" s="2"/>
      <c r="T211" s="2"/>
      <c r="U211" s="2" t="s">
        <v>1738</v>
      </c>
      <c r="V211" s="2"/>
      <c r="W211" s="2" t="s">
        <v>1739</v>
      </c>
      <c r="X211" s="2"/>
      <c r="Y211" s="2" t="s">
        <v>48</v>
      </c>
      <c r="Z211" s="3" t="s">
        <v>1740</v>
      </c>
      <c r="AA211" s="2" t="s">
        <v>40</v>
      </c>
      <c r="AB211" s="2" t="s">
        <v>50</v>
      </c>
      <c r="AC211" s="2" t="n">
        <v>0</v>
      </c>
      <c r="AD211" s="2" t="n">
        <v>765</v>
      </c>
      <c r="AE211" s="2" t="n">
        <v>1</v>
      </c>
      <c r="AF211" s="2"/>
      <c r="AG211" s="2" t="s">
        <v>1741</v>
      </c>
      <c r="AH211" s="2" t="s">
        <v>1742</v>
      </c>
      <c r="AI211" s="2" t="n">
        <v>0</v>
      </c>
    </row>
    <row r="212" customFormat="false" ht="15" hidden="false" customHeight="false" outlineLevel="0" collapsed="false">
      <c r="A212" s="2" t="n">
        <v>90913</v>
      </c>
      <c r="B212" s="2" t="s">
        <v>1743</v>
      </c>
      <c r="C212" s="2"/>
      <c r="D212" s="2" t="s">
        <v>1744</v>
      </c>
      <c r="E212" s="2" t="s">
        <v>37</v>
      </c>
      <c r="F212" s="2" t="s">
        <v>237</v>
      </c>
      <c r="G212" s="2" t="s">
        <v>39</v>
      </c>
      <c r="H212" s="2" t="s">
        <v>40</v>
      </c>
      <c r="I212" s="2" t="s">
        <v>40</v>
      </c>
      <c r="J212" s="2" t="s">
        <v>1745</v>
      </c>
      <c r="K212" s="2" t="s">
        <v>42</v>
      </c>
      <c r="L212" s="2" t="s">
        <v>43</v>
      </c>
      <c r="M212" s="2" t="s">
        <v>44</v>
      </c>
      <c r="N212" s="2"/>
      <c r="O212" s="2" t="n">
        <v>7.8852491</v>
      </c>
      <c r="P212" s="2" t="n">
        <v>98.3763474</v>
      </c>
      <c r="Q212" s="2" t="s">
        <v>1746</v>
      </c>
      <c r="R212" s="2"/>
      <c r="S212" s="2"/>
      <c r="T212" s="2"/>
      <c r="U212" s="2" t="s">
        <v>1747</v>
      </c>
      <c r="V212" s="2"/>
      <c r="W212" s="2" t="s">
        <v>152</v>
      </c>
      <c r="X212" s="2"/>
      <c r="Y212" s="2" t="s">
        <v>48</v>
      </c>
      <c r="Z212" s="3" t="s">
        <v>1748</v>
      </c>
      <c r="AA212" s="2" t="s">
        <v>40</v>
      </c>
      <c r="AB212" s="2" t="s">
        <v>50</v>
      </c>
      <c r="AC212" s="2" t="n">
        <v>0</v>
      </c>
      <c r="AD212" s="2" t="n">
        <v>680</v>
      </c>
      <c r="AE212" s="2" t="n">
        <v>0</v>
      </c>
      <c r="AF212" s="2"/>
      <c r="AG212" s="2" t="s">
        <v>1749</v>
      </c>
      <c r="AH212" s="2" t="s">
        <v>1750</v>
      </c>
      <c r="AI212" s="2" t="n">
        <v>0</v>
      </c>
    </row>
    <row r="213" customFormat="false" ht="15" hidden="false" customHeight="false" outlineLevel="0" collapsed="false">
      <c r="A213" s="2" t="n">
        <v>91747</v>
      </c>
      <c r="B213" s="2" t="s">
        <v>1751</v>
      </c>
      <c r="C213" s="2"/>
      <c r="D213" s="2" t="s">
        <v>104</v>
      </c>
      <c r="E213" s="2" t="s">
        <v>105</v>
      </c>
      <c r="F213" s="2" t="s">
        <v>237</v>
      </c>
      <c r="G213" s="2" t="s">
        <v>39</v>
      </c>
      <c r="H213" s="2" t="s">
        <v>40</v>
      </c>
      <c r="I213" s="2" t="s">
        <v>40</v>
      </c>
      <c r="J213" s="2" t="s">
        <v>1752</v>
      </c>
      <c r="K213" s="2" t="s">
        <v>1263</v>
      </c>
      <c r="L213" s="2" t="s">
        <v>109</v>
      </c>
      <c r="M213" s="2" t="s">
        <v>44</v>
      </c>
      <c r="N213" s="2"/>
      <c r="O213" s="2" t="n">
        <v>7.94942</v>
      </c>
      <c r="P213" s="2" t="n">
        <v>98.27372</v>
      </c>
      <c r="Q213" s="2" t="s">
        <v>1264</v>
      </c>
      <c r="R213" s="2"/>
      <c r="S213" s="2"/>
      <c r="T213" s="2"/>
      <c r="U213" s="2" t="s">
        <v>1753</v>
      </c>
      <c r="V213" s="2"/>
      <c r="W213" s="2" t="s">
        <v>318</v>
      </c>
      <c r="X213" s="2"/>
      <c r="Y213" s="2" t="s">
        <v>48</v>
      </c>
      <c r="Z213" s="3" t="s">
        <v>1754</v>
      </c>
      <c r="AA213" s="2" t="s">
        <v>40</v>
      </c>
      <c r="AB213" s="2" t="s">
        <v>50</v>
      </c>
      <c r="AC213" s="2" t="n">
        <v>0</v>
      </c>
      <c r="AD213" s="2" t="n">
        <v>695</v>
      </c>
      <c r="AE213" s="2" t="n">
        <v>0</v>
      </c>
      <c r="AF213" s="2"/>
      <c r="AG213" s="2" t="s">
        <v>1755</v>
      </c>
      <c r="AH213" s="2" t="s">
        <v>1756</v>
      </c>
      <c r="AI213" s="2" t="n">
        <v>0</v>
      </c>
    </row>
    <row r="214" customFormat="false" ht="15" hidden="false" customHeight="false" outlineLevel="0" collapsed="false">
      <c r="A214" s="2" t="n">
        <v>90876</v>
      </c>
      <c r="B214" s="2" t="s">
        <v>1757</v>
      </c>
      <c r="C214" s="2"/>
      <c r="D214" s="2" t="s">
        <v>1758</v>
      </c>
      <c r="E214" s="2" t="s">
        <v>55</v>
      </c>
      <c r="F214" s="2" t="s">
        <v>106</v>
      </c>
      <c r="G214" s="2" t="s">
        <v>39</v>
      </c>
      <c r="H214" s="2" t="s">
        <v>40</v>
      </c>
      <c r="I214" s="2" t="s">
        <v>40</v>
      </c>
      <c r="J214" s="2" t="s">
        <v>1759</v>
      </c>
      <c r="K214" s="2" t="s">
        <v>474</v>
      </c>
      <c r="L214" s="2" t="s">
        <v>43</v>
      </c>
      <c r="M214" s="2" t="s">
        <v>44</v>
      </c>
      <c r="N214" s="2"/>
      <c r="O214" s="2" t="n">
        <v>7.8701963</v>
      </c>
      <c r="P214" s="2" t="n">
        <v>98.3299144</v>
      </c>
      <c r="Q214" s="2"/>
      <c r="R214" s="2" t="s">
        <v>1760</v>
      </c>
      <c r="S214" s="2"/>
      <c r="T214" s="2"/>
      <c r="U214" s="2" t="s">
        <v>1761</v>
      </c>
      <c r="V214" s="2"/>
      <c r="W214" s="2" t="s">
        <v>485</v>
      </c>
      <c r="X214" s="2"/>
      <c r="Y214" s="2" t="s">
        <v>48</v>
      </c>
      <c r="Z214" s="3" t="s">
        <v>1762</v>
      </c>
      <c r="AA214" s="2" t="s">
        <v>40</v>
      </c>
      <c r="AB214" s="2" t="s">
        <v>50</v>
      </c>
      <c r="AC214" s="2" t="n">
        <v>0</v>
      </c>
      <c r="AD214" s="2" t="n">
        <v>583</v>
      </c>
      <c r="AE214" s="2" t="n">
        <v>0</v>
      </c>
      <c r="AF214" s="2"/>
      <c r="AG214" s="2" t="s">
        <v>1763</v>
      </c>
      <c r="AH214" s="2" t="s">
        <v>1764</v>
      </c>
      <c r="AI214" s="2" t="n">
        <v>0</v>
      </c>
    </row>
    <row r="215" customFormat="false" ht="15" hidden="false" customHeight="false" outlineLevel="0" collapsed="false">
      <c r="A215" s="2" t="n">
        <v>90857</v>
      </c>
      <c r="B215" s="2" t="s">
        <v>1765</v>
      </c>
      <c r="C215" s="2"/>
      <c r="D215" s="2" t="s">
        <v>1766</v>
      </c>
      <c r="E215" s="2" t="s">
        <v>105</v>
      </c>
      <c r="F215" s="2" t="s">
        <v>129</v>
      </c>
      <c r="G215" s="2" t="s">
        <v>39</v>
      </c>
      <c r="H215" s="2" t="s">
        <v>40</v>
      </c>
      <c r="I215" s="2" t="s">
        <v>40</v>
      </c>
      <c r="J215" s="2" t="s">
        <v>107</v>
      </c>
      <c r="K215" s="2" t="s">
        <v>108</v>
      </c>
      <c r="L215" s="2" t="s">
        <v>109</v>
      </c>
      <c r="M215" s="2" t="s">
        <v>44</v>
      </c>
      <c r="N215" s="2"/>
      <c r="O215" s="2" t="n">
        <v>7.915068</v>
      </c>
      <c r="P215" s="2" t="n">
        <v>98.292551</v>
      </c>
      <c r="Q215" s="2" t="s">
        <v>1767</v>
      </c>
      <c r="R215" s="2"/>
      <c r="S215" s="2"/>
      <c r="T215" s="2"/>
      <c r="U215" s="2" t="s">
        <v>1768</v>
      </c>
      <c r="V215" s="2"/>
      <c r="W215" s="2" t="s">
        <v>1769</v>
      </c>
      <c r="X215" s="2"/>
      <c r="Y215" s="2" t="s">
        <v>48</v>
      </c>
      <c r="Z215" s="3" t="s">
        <v>1770</v>
      </c>
      <c r="AA215" s="2" t="s">
        <v>40</v>
      </c>
      <c r="AB215" s="2" t="s">
        <v>50</v>
      </c>
      <c r="AC215" s="2" t="n">
        <v>0</v>
      </c>
      <c r="AD215" s="2" t="n">
        <v>603</v>
      </c>
      <c r="AE215" s="2" t="n">
        <v>1</v>
      </c>
      <c r="AF215" s="2"/>
      <c r="AG215" s="2" t="s">
        <v>1771</v>
      </c>
      <c r="AH215" s="2" t="s">
        <v>1772</v>
      </c>
      <c r="AI215" s="2" t="n">
        <v>0</v>
      </c>
    </row>
    <row r="216" customFormat="false" ht="15" hidden="false" customHeight="false" outlineLevel="0" collapsed="false">
      <c r="A216" s="2" t="n">
        <v>90877</v>
      </c>
      <c r="B216" s="2" t="s">
        <v>1773</v>
      </c>
      <c r="C216" s="2"/>
      <c r="D216" s="2" t="s">
        <v>1774</v>
      </c>
      <c r="E216" s="2" t="s">
        <v>37</v>
      </c>
      <c r="F216" s="2" t="s">
        <v>38</v>
      </c>
      <c r="G216" s="2" t="s">
        <v>39</v>
      </c>
      <c r="H216" s="2" t="s">
        <v>40</v>
      </c>
      <c r="I216" s="2" t="s">
        <v>40</v>
      </c>
      <c r="J216" s="2" t="s">
        <v>902</v>
      </c>
      <c r="K216" s="2" t="s">
        <v>68</v>
      </c>
      <c r="L216" s="2" t="s">
        <v>43</v>
      </c>
      <c r="M216" s="2" t="s">
        <v>44</v>
      </c>
      <c r="N216" s="2"/>
      <c r="O216" s="2" t="n">
        <v>7.8862791</v>
      </c>
      <c r="P216" s="2" t="n">
        <v>98.3920617</v>
      </c>
      <c r="Q216" s="2" t="s">
        <v>1775</v>
      </c>
      <c r="R216" s="2"/>
      <c r="S216" s="2"/>
      <c r="T216" s="2"/>
      <c r="U216" s="2" t="s">
        <v>1776</v>
      </c>
      <c r="V216" s="2"/>
      <c r="W216" s="2" t="s">
        <v>452</v>
      </c>
      <c r="X216" s="2"/>
      <c r="Y216" s="2" t="s">
        <v>48</v>
      </c>
      <c r="Z216" s="3" t="s">
        <v>1777</v>
      </c>
      <c r="AA216" s="2" t="s">
        <v>40</v>
      </c>
      <c r="AB216" s="2" t="s">
        <v>50</v>
      </c>
      <c r="AC216" s="2" t="n">
        <v>0</v>
      </c>
      <c r="AD216" s="2" t="n">
        <v>595</v>
      </c>
      <c r="AE216" s="2" t="n">
        <v>0</v>
      </c>
      <c r="AF216" s="2"/>
      <c r="AG216" s="2" t="s">
        <v>1778</v>
      </c>
      <c r="AH216" s="2" t="s">
        <v>1779</v>
      </c>
      <c r="AI216" s="2" t="n">
        <v>0</v>
      </c>
    </row>
    <row r="217" customFormat="false" ht="15" hidden="false" customHeight="false" outlineLevel="0" collapsed="false">
      <c r="A217" s="2" t="n">
        <v>91397</v>
      </c>
      <c r="B217" s="2" t="s">
        <v>1780</v>
      </c>
      <c r="C217" s="2"/>
      <c r="D217" s="2" t="s">
        <v>1781</v>
      </c>
      <c r="E217" s="2" t="s">
        <v>37</v>
      </c>
      <c r="F217" s="2" t="s">
        <v>106</v>
      </c>
      <c r="G217" s="2" t="s">
        <v>39</v>
      </c>
      <c r="H217" s="2" t="s">
        <v>40</v>
      </c>
      <c r="I217" s="2" t="s">
        <v>40</v>
      </c>
      <c r="J217" s="2" t="s">
        <v>1782</v>
      </c>
      <c r="K217" s="2" t="s">
        <v>78</v>
      </c>
      <c r="L217" s="2" t="s">
        <v>43</v>
      </c>
      <c r="M217" s="2" t="s">
        <v>44</v>
      </c>
      <c r="N217" s="2"/>
      <c r="O217" s="2" t="n">
        <v>7.8763271</v>
      </c>
      <c r="P217" s="2" t="n">
        <v>98.351217</v>
      </c>
      <c r="Q217" s="2" t="s">
        <v>1783</v>
      </c>
      <c r="R217" s="2"/>
      <c r="S217" s="2"/>
      <c r="T217" s="2"/>
      <c r="U217" s="2" t="s">
        <v>1784</v>
      </c>
      <c r="V217" s="2"/>
      <c r="W217" s="2" t="s">
        <v>1681</v>
      </c>
      <c r="X217" s="2"/>
      <c r="Y217" s="2" t="s">
        <v>48</v>
      </c>
      <c r="Z217" s="3" t="s">
        <v>1785</v>
      </c>
      <c r="AA217" s="2" t="s">
        <v>40</v>
      </c>
      <c r="AB217" s="2" t="s">
        <v>50</v>
      </c>
      <c r="AC217" s="2" t="n">
        <v>0</v>
      </c>
      <c r="AD217" s="2" t="n">
        <v>767</v>
      </c>
      <c r="AE217" s="2" t="n">
        <v>1</v>
      </c>
      <c r="AF217" s="2"/>
      <c r="AG217" s="2" t="s">
        <v>1786</v>
      </c>
      <c r="AH217" s="2" t="s">
        <v>1787</v>
      </c>
      <c r="AI217" s="2" t="n">
        <v>0</v>
      </c>
    </row>
    <row r="218" customFormat="false" ht="15" hidden="false" customHeight="false" outlineLevel="0" collapsed="false">
      <c r="A218" s="2" t="n">
        <v>91261</v>
      </c>
      <c r="B218" s="2" t="s">
        <v>1788</v>
      </c>
      <c r="C218" s="2"/>
      <c r="D218" s="2" t="s">
        <v>116</v>
      </c>
      <c r="E218" s="2" t="s">
        <v>37</v>
      </c>
      <c r="F218" s="2" t="s">
        <v>38</v>
      </c>
      <c r="G218" s="2" t="s">
        <v>39</v>
      </c>
      <c r="H218" s="2" t="s">
        <v>40</v>
      </c>
      <c r="I218" s="2" t="s">
        <v>40</v>
      </c>
      <c r="J218" s="2" t="s">
        <v>1708</v>
      </c>
      <c r="K218" s="2" t="s">
        <v>68</v>
      </c>
      <c r="L218" s="2" t="s">
        <v>43</v>
      </c>
      <c r="M218" s="2" t="s">
        <v>44</v>
      </c>
      <c r="N218" s="2"/>
      <c r="O218" s="2" t="n">
        <v>7.898219</v>
      </c>
      <c r="P218" s="2" t="n">
        <v>98.384089</v>
      </c>
      <c r="Q218" s="2"/>
      <c r="R218" s="2" t="s">
        <v>1789</v>
      </c>
      <c r="S218" s="2"/>
      <c r="T218" s="2"/>
      <c r="U218" s="2" t="s">
        <v>1790</v>
      </c>
      <c r="V218" s="2"/>
      <c r="W218" s="2" t="s">
        <v>1791</v>
      </c>
      <c r="X218" s="2"/>
      <c r="Y218" s="2" t="s">
        <v>48</v>
      </c>
      <c r="Z218" s="3" t="s">
        <v>1792</v>
      </c>
      <c r="AA218" s="2" t="s">
        <v>40</v>
      </c>
      <c r="AB218" s="2" t="s">
        <v>50</v>
      </c>
      <c r="AC218" s="2" t="n">
        <v>0</v>
      </c>
      <c r="AD218" s="2" t="n">
        <v>667</v>
      </c>
      <c r="AE218" s="2" t="n">
        <v>1</v>
      </c>
      <c r="AF218" s="2"/>
      <c r="AG218" s="2" t="s">
        <v>1793</v>
      </c>
      <c r="AH218" s="2" t="s">
        <v>1794</v>
      </c>
      <c r="AI218" s="2" t="n">
        <v>0</v>
      </c>
    </row>
    <row r="219" customFormat="false" ht="15" hidden="false" customHeight="false" outlineLevel="0" collapsed="false">
      <c r="A219" s="2" t="n">
        <v>90824</v>
      </c>
      <c r="B219" s="2" t="s">
        <v>1795</v>
      </c>
      <c r="C219" s="2"/>
      <c r="D219" s="2" t="s">
        <v>1796</v>
      </c>
      <c r="E219" s="2" t="s">
        <v>37</v>
      </c>
      <c r="F219" s="2" t="s">
        <v>106</v>
      </c>
      <c r="G219" s="2" t="s">
        <v>39</v>
      </c>
      <c r="H219" s="2" t="s">
        <v>40</v>
      </c>
      <c r="I219" s="2" t="s">
        <v>40</v>
      </c>
      <c r="J219" s="2" t="s">
        <v>782</v>
      </c>
      <c r="K219" s="2" t="s">
        <v>474</v>
      </c>
      <c r="L219" s="2" t="s">
        <v>43</v>
      </c>
      <c r="M219" s="2" t="s">
        <v>44</v>
      </c>
      <c r="N219" s="2"/>
      <c r="O219" s="2" t="n">
        <v>7.8643253</v>
      </c>
      <c r="P219" s="2" t="n">
        <v>98.3469592</v>
      </c>
      <c r="Q219" s="2"/>
      <c r="R219" s="2" t="s">
        <v>1797</v>
      </c>
      <c r="S219" s="2"/>
      <c r="T219" s="2"/>
      <c r="U219" s="2" t="s">
        <v>1798</v>
      </c>
      <c r="V219" s="2"/>
      <c r="W219" s="2" t="s">
        <v>1681</v>
      </c>
      <c r="X219" s="2"/>
      <c r="Y219" s="2" t="s">
        <v>48</v>
      </c>
      <c r="Z219" s="3" t="s">
        <v>1799</v>
      </c>
      <c r="AA219" s="2" t="s">
        <v>40</v>
      </c>
      <c r="AB219" s="2" t="s">
        <v>50</v>
      </c>
      <c r="AC219" s="2" t="n">
        <v>0</v>
      </c>
      <c r="AD219" s="2" t="n">
        <v>1740</v>
      </c>
      <c r="AE219" s="2" t="n">
        <v>1</v>
      </c>
      <c r="AF219" s="2"/>
      <c r="AG219" s="2" t="s">
        <v>1800</v>
      </c>
      <c r="AH219" s="2" t="s">
        <v>1801</v>
      </c>
      <c r="AI219" s="2" t="n">
        <v>0</v>
      </c>
    </row>
    <row r="220" customFormat="false" ht="15" hidden="false" customHeight="false" outlineLevel="0" collapsed="false">
      <c r="A220" s="2" t="n">
        <v>91357</v>
      </c>
      <c r="B220" s="2" t="s">
        <v>1802</v>
      </c>
      <c r="C220" s="2"/>
      <c r="D220" s="2" t="s">
        <v>1686</v>
      </c>
      <c r="E220" s="2" t="s">
        <v>55</v>
      </c>
      <c r="F220" s="2" t="s">
        <v>129</v>
      </c>
      <c r="G220" s="2" t="s">
        <v>39</v>
      </c>
      <c r="H220" s="2" t="s">
        <v>40</v>
      </c>
      <c r="I220" s="2" t="s">
        <v>40</v>
      </c>
      <c r="J220" s="2" t="s">
        <v>77</v>
      </c>
      <c r="K220" s="2" t="s">
        <v>78</v>
      </c>
      <c r="L220" s="2" t="s">
        <v>43</v>
      </c>
      <c r="M220" s="2" t="s">
        <v>44</v>
      </c>
      <c r="N220" s="2"/>
      <c r="O220" s="2" t="n">
        <v>7.891674</v>
      </c>
      <c r="P220" s="2" t="n">
        <v>98.367789</v>
      </c>
      <c r="Q220" s="2" t="s">
        <v>1803</v>
      </c>
      <c r="R220" s="2"/>
      <c r="S220" s="2"/>
      <c r="T220" s="2"/>
      <c r="U220" s="2" t="s">
        <v>1804</v>
      </c>
      <c r="V220" s="2"/>
      <c r="W220" s="2" t="s">
        <v>857</v>
      </c>
      <c r="X220" s="2"/>
      <c r="Y220" s="2" t="s">
        <v>48</v>
      </c>
      <c r="Z220" s="3" t="s">
        <v>1805</v>
      </c>
      <c r="AA220" s="2" t="s">
        <v>40</v>
      </c>
      <c r="AB220" s="2" t="s">
        <v>50</v>
      </c>
      <c r="AC220" s="2" t="n">
        <v>0</v>
      </c>
      <c r="AD220" s="2" t="n">
        <v>703</v>
      </c>
      <c r="AE220" s="2" t="n">
        <v>1</v>
      </c>
      <c r="AF220" s="2"/>
      <c r="AG220" s="2" t="s">
        <v>1806</v>
      </c>
      <c r="AH220" s="2" t="s">
        <v>1807</v>
      </c>
      <c r="AI220" s="2" t="n">
        <v>0</v>
      </c>
    </row>
    <row r="221" customFormat="false" ht="15" hidden="false" customHeight="false" outlineLevel="0" collapsed="false">
      <c r="A221" s="2" t="n">
        <v>91238</v>
      </c>
      <c r="B221" s="2" t="s">
        <v>1808</v>
      </c>
      <c r="C221" s="2"/>
      <c r="D221" s="2" t="s">
        <v>262</v>
      </c>
      <c r="E221" s="2" t="s">
        <v>117</v>
      </c>
      <c r="F221" s="2" t="s">
        <v>38</v>
      </c>
      <c r="G221" s="2" t="s">
        <v>39</v>
      </c>
      <c r="H221" s="2" t="s">
        <v>40</v>
      </c>
      <c r="I221" s="2" t="s">
        <v>40</v>
      </c>
      <c r="J221" s="2" t="s">
        <v>1809</v>
      </c>
      <c r="K221" s="2" t="s">
        <v>68</v>
      </c>
      <c r="L221" s="2" t="s">
        <v>43</v>
      </c>
      <c r="M221" s="2" t="s">
        <v>44</v>
      </c>
      <c r="N221" s="2"/>
      <c r="O221" s="2" t="n">
        <v>7.898831</v>
      </c>
      <c r="P221" s="2" t="n">
        <v>98.383803</v>
      </c>
      <c r="Q221" s="2"/>
      <c r="R221" s="2" t="s">
        <v>1810</v>
      </c>
      <c r="S221" s="2"/>
      <c r="T221" s="2"/>
      <c r="U221" s="2" t="s">
        <v>1811</v>
      </c>
      <c r="V221" s="2"/>
      <c r="W221" s="2" t="s">
        <v>1812</v>
      </c>
      <c r="X221" s="2"/>
      <c r="Y221" s="2" t="s">
        <v>48</v>
      </c>
      <c r="Z221" s="3" t="s">
        <v>1813</v>
      </c>
      <c r="AA221" s="2" t="s">
        <v>40</v>
      </c>
      <c r="AB221" s="2" t="s">
        <v>50</v>
      </c>
      <c r="AC221" s="2" t="n">
        <v>0</v>
      </c>
      <c r="AD221" s="2" t="n">
        <v>694</v>
      </c>
      <c r="AE221" s="2" t="n">
        <v>0</v>
      </c>
      <c r="AF221" s="2"/>
      <c r="AG221" s="2" t="s">
        <v>1814</v>
      </c>
      <c r="AH221" s="2" t="s">
        <v>1815</v>
      </c>
      <c r="AI221" s="2" t="n">
        <v>0</v>
      </c>
    </row>
    <row r="222" customFormat="false" ht="15" hidden="false" customHeight="false" outlineLevel="0" collapsed="false">
      <c r="A222" s="2" t="n">
        <v>92961</v>
      </c>
      <c r="B222" s="2" t="s">
        <v>1816</v>
      </c>
      <c r="C222" s="2"/>
      <c r="D222" s="2" t="s">
        <v>262</v>
      </c>
      <c r="E222" s="2" t="s">
        <v>117</v>
      </c>
      <c r="F222" s="2" t="s">
        <v>38</v>
      </c>
      <c r="G222" s="2" t="s">
        <v>39</v>
      </c>
      <c r="H222" s="2" t="s">
        <v>40</v>
      </c>
      <c r="I222" s="2" t="s">
        <v>40</v>
      </c>
      <c r="J222" s="2" t="s">
        <v>1817</v>
      </c>
      <c r="K222" s="2" t="s">
        <v>57</v>
      </c>
      <c r="L222" s="2" t="s">
        <v>58</v>
      </c>
      <c r="M222" s="2" t="s">
        <v>44</v>
      </c>
      <c r="N222" s="2"/>
      <c r="O222" s="2" t="n">
        <v>7.9861347</v>
      </c>
      <c r="P222" s="2" t="n">
        <v>98.2992848</v>
      </c>
      <c r="Q222" s="2"/>
      <c r="R222" s="2" t="s">
        <v>1818</v>
      </c>
      <c r="S222" s="2"/>
      <c r="T222" s="2"/>
      <c r="U222" s="2" t="s">
        <v>1819</v>
      </c>
      <c r="V222" s="2"/>
      <c r="W222" s="2" t="s">
        <v>452</v>
      </c>
      <c r="X222" s="2"/>
      <c r="Y222" s="2" t="s">
        <v>48</v>
      </c>
      <c r="Z222" s="2" t="s">
        <v>1820</v>
      </c>
      <c r="AA222" s="2" t="s">
        <v>40</v>
      </c>
      <c r="AB222" s="2" t="s">
        <v>50</v>
      </c>
      <c r="AC222" s="2" t="n">
        <v>0</v>
      </c>
      <c r="AD222" s="2" t="n">
        <v>612</v>
      </c>
      <c r="AE222" s="2" t="n">
        <v>1</v>
      </c>
      <c r="AF222" s="2"/>
      <c r="AG222" s="2" t="s">
        <v>1821</v>
      </c>
      <c r="AH222" s="2" t="s">
        <v>1822</v>
      </c>
      <c r="AI222" s="2" t="n">
        <v>0</v>
      </c>
    </row>
    <row r="223" customFormat="false" ht="15" hidden="false" customHeight="false" outlineLevel="0" collapsed="false">
      <c r="A223" s="2" t="n">
        <v>90830</v>
      </c>
      <c r="B223" s="2" t="s">
        <v>1823</v>
      </c>
      <c r="C223" s="2"/>
      <c r="D223" s="2" t="s">
        <v>1824</v>
      </c>
      <c r="E223" s="2" t="s">
        <v>105</v>
      </c>
      <c r="F223" s="2" t="s">
        <v>38</v>
      </c>
      <c r="G223" s="2" t="s">
        <v>39</v>
      </c>
      <c r="H223" s="2" t="s">
        <v>40</v>
      </c>
      <c r="I223" s="2" t="s">
        <v>40</v>
      </c>
      <c r="J223" s="2" t="s">
        <v>1825</v>
      </c>
      <c r="K223" s="2" t="s">
        <v>42</v>
      </c>
      <c r="L223" s="2" t="s">
        <v>43</v>
      </c>
      <c r="M223" s="2" t="s">
        <v>44</v>
      </c>
      <c r="N223" s="2"/>
      <c r="O223" s="2" t="n">
        <v>7.884634</v>
      </c>
      <c r="P223" s="2" t="n">
        <v>98.387864</v>
      </c>
      <c r="Q223" s="2"/>
      <c r="R223" s="2" t="s">
        <v>1826</v>
      </c>
      <c r="S223" s="2"/>
      <c r="T223" s="2"/>
      <c r="U223" s="2" t="s">
        <v>1827</v>
      </c>
      <c r="V223" s="2"/>
      <c r="W223" s="2" t="s">
        <v>857</v>
      </c>
      <c r="X223" s="2"/>
      <c r="Y223" s="2" t="s">
        <v>48</v>
      </c>
      <c r="Z223" s="3" t="s">
        <v>1828</v>
      </c>
      <c r="AA223" s="2" t="s">
        <v>40</v>
      </c>
      <c r="AB223" s="2" t="s">
        <v>50</v>
      </c>
      <c r="AC223" s="2" t="n">
        <v>0</v>
      </c>
      <c r="AD223" s="2" t="n">
        <v>896</v>
      </c>
      <c r="AE223" s="2" t="n">
        <v>1</v>
      </c>
      <c r="AF223" s="2"/>
      <c r="AG223" s="2" t="s">
        <v>1829</v>
      </c>
      <c r="AH223" s="2" t="s">
        <v>1830</v>
      </c>
      <c r="AI223" s="2" t="n">
        <v>0</v>
      </c>
    </row>
    <row r="224" customFormat="false" ht="15" hidden="false" customHeight="false" outlineLevel="0" collapsed="false">
      <c r="A224" s="2" t="n">
        <v>91742</v>
      </c>
      <c r="B224" s="2" t="s">
        <v>1831</v>
      </c>
      <c r="C224" s="2"/>
      <c r="D224" s="2" t="s">
        <v>1832</v>
      </c>
      <c r="E224" s="2" t="s">
        <v>37</v>
      </c>
      <c r="F224" s="2" t="s">
        <v>38</v>
      </c>
      <c r="G224" s="2" t="s">
        <v>39</v>
      </c>
      <c r="H224" s="2" t="s">
        <v>40</v>
      </c>
      <c r="I224" s="2" t="s">
        <v>40</v>
      </c>
      <c r="J224" s="2" t="s">
        <v>854</v>
      </c>
      <c r="K224" s="2" t="s">
        <v>78</v>
      </c>
      <c r="L224" s="2" t="s">
        <v>43</v>
      </c>
      <c r="M224" s="2" t="s">
        <v>44</v>
      </c>
      <c r="N224" s="2"/>
      <c r="O224" s="2" t="n">
        <v>7.914621</v>
      </c>
      <c r="P224" s="2" t="n">
        <v>98.371306</v>
      </c>
      <c r="Q224" s="2"/>
      <c r="R224" s="2" t="s">
        <v>1833</v>
      </c>
      <c r="S224" s="2"/>
      <c r="T224" s="2"/>
      <c r="U224" s="2" t="s">
        <v>1834</v>
      </c>
      <c r="V224" s="2"/>
      <c r="W224" s="2" t="s">
        <v>452</v>
      </c>
      <c r="X224" s="2"/>
      <c r="Y224" s="2" t="s">
        <v>48</v>
      </c>
      <c r="Z224" s="3" t="s">
        <v>1835</v>
      </c>
      <c r="AA224" s="2" t="s">
        <v>40</v>
      </c>
      <c r="AB224" s="2" t="s">
        <v>50</v>
      </c>
      <c r="AC224" s="2" t="n">
        <v>0</v>
      </c>
      <c r="AD224" s="2" t="n">
        <v>529</v>
      </c>
      <c r="AE224" s="2" t="n">
        <v>0</v>
      </c>
      <c r="AF224" s="2"/>
      <c r="AG224" s="2" t="s">
        <v>1836</v>
      </c>
      <c r="AH224" s="2" t="s">
        <v>1837</v>
      </c>
      <c r="AI224" s="2" t="n">
        <v>0</v>
      </c>
    </row>
    <row r="225" customFormat="false" ht="15" hidden="false" customHeight="false" outlineLevel="0" collapsed="false">
      <c r="A225" s="2" t="n">
        <v>91486</v>
      </c>
      <c r="B225" s="2" t="s">
        <v>1838</v>
      </c>
      <c r="C225" s="2"/>
      <c r="D225" s="2" t="s">
        <v>1839</v>
      </c>
      <c r="E225" s="2" t="s">
        <v>55</v>
      </c>
      <c r="F225" s="2" t="s">
        <v>106</v>
      </c>
      <c r="G225" s="2" t="s">
        <v>39</v>
      </c>
      <c r="H225" s="2" t="s">
        <v>40</v>
      </c>
      <c r="I225" s="2" t="s">
        <v>40</v>
      </c>
      <c r="J225" s="2" t="s">
        <v>1840</v>
      </c>
      <c r="K225" s="2" t="s">
        <v>1263</v>
      </c>
      <c r="L225" s="2" t="s">
        <v>109</v>
      </c>
      <c r="M225" s="2" t="s">
        <v>44</v>
      </c>
      <c r="N225" s="2"/>
      <c r="O225" s="2" t="n">
        <v>7.9227266</v>
      </c>
      <c r="P225" s="2" t="n">
        <v>98.278643</v>
      </c>
      <c r="Q225" s="2" t="s">
        <v>1841</v>
      </c>
      <c r="R225" s="2"/>
      <c r="S225" s="2"/>
      <c r="T225" s="2"/>
      <c r="U225" s="2" t="s">
        <v>1842</v>
      </c>
      <c r="V225" s="2"/>
      <c r="W225" s="2" t="s">
        <v>385</v>
      </c>
      <c r="X225" s="2"/>
      <c r="Y225" s="2" t="s">
        <v>48</v>
      </c>
      <c r="Z225" s="3" t="s">
        <v>1843</v>
      </c>
      <c r="AA225" s="2" t="s">
        <v>40</v>
      </c>
      <c r="AB225" s="2" t="s">
        <v>50</v>
      </c>
      <c r="AC225" s="2" t="n">
        <v>0</v>
      </c>
      <c r="AD225" s="2" t="n">
        <v>706</v>
      </c>
      <c r="AE225" s="2" t="n">
        <v>1</v>
      </c>
      <c r="AF225" s="2"/>
      <c r="AG225" s="2" t="s">
        <v>1844</v>
      </c>
      <c r="AH225" s="2" t="s">
        <v>1845</v>
      </c>
      <c r="AI225" s="2" t="n">
        <v>0</v>
      </c>
    </row>
    <row r="226" customFormat="false" ht="15" hidden="false" customHeight="false" outlineLevel="0" collapsed="false">
      <c r="A226" s="2" t="n">
        <v>90852</v>
      </c>
      <c r="B226" s="2" t="s">
        <v>1846</v>
      </c>
      <c r="C226" s="2"/>
      <c r="D226" s="2" t="s">
        <v>157</v>
      </c>
      <c r="E226" s="2" t="s">
        <v>55</v>
      </c>
      <c r="F226" s="2" t="s">
        <v>118</v>
      </c>
      <c r="G226" s="2" t="s">
        <v>39</v>
      </c>
      <c r="H226" s="2" t="s">
        <v>40</v>
      </c>
      <c r="I226" s="2" t="s">
        <v>40</v>
      </c>
      <c r="J226" s="2" t="s">
        <v>490</v>
      </c>
      <c r="K226" s="2" t="s">
        <v>68</v>
      </c>
      <c r="L226" s="2" t="s">
        <v>43</v>
      </c>
      <c r="M226" s="2" t="s">
        <v>44</v>
      </c>
      <c r="N226" s="2"/>
      <c r="O226" s="2" t="n">
        <v>7.8827042</v>
      </c>
      <c r="P226" s="2" t="n">
        <v>98.3981833</v>
      </c>
      <c r="Q226" s="2"/>
      <c r="R226" s="2" t="s">
        <v>1847</v>
      </c>
      <c r="S226" s="2"/>
      <c r="T226" s="2"/>
      <c r="U226" s="2" t="s">
        <v>1848</v>
      </c>
      <c r="V226" s="2"/>
      <c r="W226" s="2" t="s">
        <v>1849</v>
      </c>
      <c r="X226" s="2"/>
      <c r="Y226" s="2" t="s">
        <v>48</v>
      </c>
      <c r="Z226" s="3" t="s">
        <v>1850</v>
      </c>
      <c r="AA226" s="2" t="s">
        <v>40</v>
      </c>
      <c r="AB226" s="2" t="s">
        <v>50</v>
      </c>
      <c r="AC226" s="2" t="n">
        <v>0</v>
      </c>
      <c r="AD226" s="2" t="n">
        <v>1972</v>
      </c>
      <c r="AE226" s="2" t="n">
        <v>0</v>
      </c>
      <c r="AF226" s="2"/>
      <c r="AG226" s="2" t="s">
        <v>1851</v>
      </c>
      <c r="AH226" s="2" t="s">
        <v>1852</v>
      </c>
      <c r="AI226" s="2" t="n">
        <v>0</v>
      </c>
    </row>
    <row r="227" customFormat="false" ht="15" hidden="false" customHeight="false" outlineLevel="0" collapsed="false">
      <c r="A227" s="2" t="n">
        <v>91216</v>
      </c>
      <c r="B227" s="2" t="s">
        <v>1853</v>
      </c>
      <c r="C227" s="2"/>
      <c r="D227" s="2" t="s">
        <v>1854</v>
      </c>
      <c r="E227" s="2" t="s">
        <v>37</v>
      </c>
      <c r="F227" s="2" t="s">
        <v>38</v>
      </c>
      <c r="G227" s="2" t="s">
        <v>39</v>
      </c>
      <c r="H227" s="2" t="s">
        <v>40</v>
      </c>
      <c r="I227" s="2" t="s">
        <v>40</v>
      </c>
      <c r="J227" s="2" t="s">
        <v>209</v>
      </c>
      <c r="K227" s="2" t="s">
        <v>109</v>
      </c>
      <c r="L227" s="2" t="s">
        <v>109</v>
      </c>
      <c r="M227" s="2" t="s">
        <v>44</v>
      </c>
      <c r="N227" s="2"/>
      <c r="O227" s="2" t="n">
        <v>7.90673</v>
      </c>
      <c r="P227" s="2" t="n">
        <v>98.329269</v>
      </c>
      <c r="Q227" s="2"/>
      <c r="R227" s="2" t="s">
        <v>1855</v>
      </c>
      <c r="S227" s="2"/>
      <c r="T227" s="2"/>
      <c r="U227" s="2" t="s">
        <v>1856</v>
      </c>
      <c r="V227" s="2"/>
      <c r="W227" s="2" t="s">
        <v>231</v>
      </c>
      <c r="X227" s="2"/>
      <c r="Y227" s="2" t="s">
        <v>48</v>
      </c>
      <c r="Z227" s="3" t="s">
        <v>1857</v>
      </c>
      <c r="AA227" s="2" t="s">
        <v>40</v>
      </c>
      <c r="AB227" s="2" t="s">
        <v>50</v>
      </c>
      <c r="AC227" s="2" t="n">
        <v>0</v>
      </c>
      <c r="AD227" s="2" t="n">
        <v>1080</v>
      </c>
      <c r="AE227" s="2" t="n">
        <v>1</v>
      </c>
      <c r="AF227" s="2"/>
      <c r="AG227" s="2" t="s">
        <v>1858</v>
      </c>
      <c r="AH227" s="2" t="s">
        <v>1859</v>
      </c>
      <c r="AI227" s="2" t="n">
        <v>0</v>
      </c>
    </row>
    <row r="228" customFormat="false" ht="15" hidden="false" customHeight="false" outlineLevel="0" collapsed="false">
      <c r="A228" s="2" t="n">
        <v>91958</v>
      </c>
      <c r="B228" s="2" t="s">
        <v>1860</v>
      </c>
      <c r="C228" s="2"/>
      <c r="D228" s="2" t="s">
        <v>262</v>
      </c>
      <c r="E228" s="2" t="s">
        <v>55</v>
      </c>
      <c r="F228" s="2" t="s">
        <v>38</v>
      </c>
      <c r="G228" s="2" t="s">
        <v>39</v>
      </c>
      <c r="H228" s="2" t="s">
        <v>40</v>
      </c>
      <c r="I228" s="2" t="s">
        <v>40</v>
      </c>
      <c r="J228" s="2" t="s">
        <v>1861</v>
      </c>
      <c r="K228" s="2" t="s">
        <v>42</v>
      </c>
      <c r="L228" s="2" t="s">
        <v>43</v>
      </c>
      <c r="M228" s="2" t="s">
        <v>44</v>
      </c>
      <c r="N228" s="2"/>
      <c r="O228" s="2" t="n">
        <v>7.8849839</v>
      </c>
      <c r="P228" s="2" t="n">
        <v>98.3867917</v>
      </c>
      <c r="Q228" s="2"/>
      <c r="R228" s="2" t="s">
        <v>1862</v>
      </c>
      <c r="S228" s="2"/>
      <c r="T228" s="2"/>
      <c r="U228" s="2" t="s">
        <v>1863</v>
      </c>
      <c r="V228" s="2"/>
      <c r="W228" s="2" t="s">
        <v>1864</v>
      </c>
      <c r="X228" s="2"/>
      <c r="Y228" s="2" t="s">
        <v>48</v>
      </c>
      <c r="Z228" s="3" t="s">
        <v>1865</v>
      </c>
      <c r="AA228" s="2" t="s">
        <v>40</v>
      </c>
      <c r="AB228" s="2" t="s">
        <v>50</v>
      </c>
      <c r="AC228" s="2" t="n">
        <v>0</v>
      </c>
      <c r="AD228" s="2" t="n">
        <v>826</v>
      </c>
      <c r="AE228" s="2" t="n">
        <v>1</v>
      </c>
      <c r="AF228" s="2"/>
      <c r="AG228" s="2" t="s">
        <v>1866</v>
      </c>
      <c r="AH228" s="2" t="s">
        <v>1867</v>
      </c>
      <c r="AI228" s="2" t="n">
        <v>0</v>
      </c>
    </row>
    <row r="229" customFormat="false" ht="15" hidden="false" customHeight="false" outlineLevel="0" collapsed="false">
      <c r="A229" s="2" t="n">
        <v>91800</v>
      </c>
      <c r="B229" s="2" t="s">
        <v>1868</v>
      </c>
      <c r="C229" s="2"/>
      <c r="D229" s="2" t="s">
        <v>1869</v>
      </c>
      <c r="E229" s="2" t="s">
        <v>117</v>
      </c>
      <c r="F229" s="2" t="s">
        <v>38</v>
      </c>
      <c r="G229" s="2" t="s">
        <v>39</v>
      </c>
      <c r="H229" s="2" t="s">
        <v>40</v>
      </c>
      <c r="I229" s="2" t="s">
        <v>40</v>
      </c>
      <c r="J229" s="2" t="s">
        <v>407</v>
      </c>
      <c r="K229" s="2" t="s">
        <v>78</v>
      </c>
      <c r="L229" s="2" t="s">
        <v>43</v>
      </c>
      <c r="M229" s="2" t="s">
        <v>44</v>
      </c>
      <c r="N229" s="2"/>
      <c r="O229" s="2" t="n">
        <v>7.887534</v>
      </c>
      <c r="P229" s="2" t="n">
        <v>98.3760778</v>
      </c>
      <c r="Q229" s="2"/>
      <c r="R229" s="2" t="s">
        <v>1870</v>
      </c>
      <c r="S229" s="2"/>
      <c r="T229" s="2"/>
      <c r="U229" s="2" t="s">
        <v>1871</v>
      </c>
      <c r="V229" s="2"/>
      <c r="W229" s="2" t="s">
        <v>1872</v>
      </c>
      <c r="X229" s="2"/>
      <c r="Y229" s="2" t="s">
        <v>48</v>
      </c>
      <c r="Z229" s="3" t="s">
        <v>1873</v>
      </c>
      <c r="AA229" s="2" t="s">
        <v>40</v>
      </c>
      <c r="AB229" s="2" t="s">
        <v>50</v>
      </c>
      <c r="AC229" s="2" t="n">
        <v>0</v>
      </c>
      <c r="AD229" s="2" t="n">
        <v>644</v>
      </c>
      <c r="AE229" s="2" t="n">
        <v>0</v>
      </c>
      <c r="AF229" s="2"/>
      <c r="AG229" s="2" t="s">
        <v>1874</v>
      </c>
      <c r="AH229" s="2" t="s">
        <v>1875</v>
      </c>
      <c r="AI229" s="2" t="n">
        <v>0</v>
      </c>
    </row>
    <row r="230" customFormat="false" ht="15" hidden="false" customHeight="false" outlineLevel="0" collapsed="false">
      <c r="A230" s="2" t="n">
        <v>91246</v>
      </c>
      <c r="B230" s="2" t="s">
        <v>1876</v>
      </c>
      <c r="C230" s="2"/>
      <c r="D230" s="2" t="s">
        <v>1877</v>
      </c>
      <c r="E230" s="2" t="s">
        <v>55</v>
      </c>
      <c r="F230" s="2" t="s">
        <v>106</v>
      </c>
      <c r="G230" s="2" t="s">
        <v>39</v>
      </c>
      <c r="H230" s="2" t="s">
        <v>40</v>
      </c>
      <c r="I230" s="2" t="s">
        <v>40</v>
      </c>
      <c r="J230" s="2" t="s">
        <v>871</v>
      </c>
      <c r="K230" s="2" t="s">
        <v>108</v>
      </c>
      <c r="L230" s="2" t="s">
        <v>109</v>
      </c>
      <c r="M230" s="2" t="s">
        <v>44</v>
      </c>
      <c r="N230" s="2"/>
      <c r="O230" s="2" t="n">
        <v>7.9076423</v>
      </c>
      <c r="P230" s="2" t="n">
        <v>98.2969251</v>
      </c>
      <c r="Q230" s="2"/>
      <c r="R230" s="2" t="s">
        <v>1878</v>
      </c>
      <c r="S230" s="2"/>
      <c r="T230" s="2"/>
      <c r="U230" s="2" t="s">
        <v>1879</v>
      </c>
      <c r="V230" s="2"/>
      <c r="W230" s="2" t="s">
        <v>418</v>
      </c>
      <c r="X230" s="2"/>
      <c r="Y230" s="2" t="s">
        <v>48</v>
      </c>
      <c r="Z230" s="3" t="s">
        <v>1880</v>
      </c>
      <c r="AA230" s="2" t="s">
        <v>40</v>
      </c>
      <c r="AB230" s="2" t="s">
        <v>50</v>
      </c>
      <c r="AC230" s="2" t="n">
        <v>0</v>
      </c>
      <c r="AD230" s="2" t="n">
        <v>608</v>
      </c>
      <c r="AE230" s="2" t="n">
        <v>1</v>
      </c>
      <c r="AF230" s="2"/>
      <c r="AG230" s="2" t="s">
        <v>1881</v>
      </c>
      <c r="AH230" s="2" t="s">
        <v>1882</v>
      </c>
      <c r="AI230" s="2" t="n">
        <v>0</v>
      </c>
    </row>
    <row r="231" customFormat="false" ht="15" hidden="false" customHeight="false" outlineLevel="0" collapsed="false">
      <c r="A231" s="2" t="n">
        <v>91745</v>
      </c>
      <c r="B231" s="2" t="s">
        <v>1883</v>
      </c>
      <c r="C231" s="2"/>
      <c r="D231" s="2" t="s">
        <v>563</v>
      </c>
      <c r="E231" s="2" t="s">
        <v>37</v>
      </c>
      <c r="F231" s="2" t="s">
        <v>106</v>
      </c>
      <c r="G231" s="2" t="s">
        <v>39</v>
      </c>
      <c r="H231" s="2" t="s">
        <v>40</v>
      </c>
      <c r="I231" s="2" t="s">
        <v>40</v>
      </c>
      <c r="J231" s="2" t="s">
        <v>539</v>
      </c>
      <c r="K231" s="2" t="s">
        <v>68</v>
      </c>
      <c r="L231" s="2" t="s">
        <v>43</v>
      </c>
      <c r="M231" s="2" t="s">
        <v>44</v>
      </c>
      <c r="N231" s="2"/>
      <c r="O231" s="2" t="n">
        <v>7.8868219</v>
      </c>
      <c r="P231" s="2" t="n">
        <v>98.3905002</v>
      </c>
      <c r="Q231" s="2" t="s">
        <v>1884</v>
      </c>
      <c r="R231" s="2"/>
      <c r="S231" s="2"/>
      <c r="T231" s="2"/>
      <c r="U231" s="2" t="s">
        <v>1885</v>
      </c>
      <c r="V231" s="2"/>
      <c r="W231" s="2" t="s">
        <v>452</v>
      </c>
      <c r="X231" s="2"/>
      <c r="Y231" s="2" t="s">
        <v>48</v>
      </c>
      <c r="Z231" s="3" t="s">
        <v>1886</v>
      </c>
      <c r="AA231" s="2" t="s">
        <v>40</v>
      </c>
      <c r="AB231" s="2" t="s">
        <v>50</v>
      </c>
      <c r="AC231" s="2" t="n">
        <v>0</v>
      </c>
      <c r="AD231" s="2" t="n">
        <v>695</v>
      </c>
      <c r="AE231" s="2" t="n">
        <v>1</v>
      </c>
      <c r="AF231" s="2"/>
      <c r="AG231" s="2" t="s">
        <v>1887</v>
      </c>
      <c r="AH231" s="2" t="s">
        <v>1888</v>
      </c>
      <c r="AI231" s="2" t="n">
        <v>0</v>
      </c>
    </row>
    <row r="232" customFormat="false" ht="15" hidden="false" customHeight="false" outlineLevel="0" collapsed="false">
      <c r="A232" s="2" t="n">
        <v>91154</v>
      </c>
      <c r="B232" s="2" t="s">
        <v>1889</v>
      </c>
      <c r="C232" s="2"/>
      <c r="D232" s="2" t="s">
        <v>236</v>
      </c>
      <c r="E232" s="2" t="s">
        <v>55</v>
      </c>
      <c r="F232" s="2" t="s">
        <v>106</v>
      </c>
      <c r="G232" s="2" t="s">
        <v>39</v>
      </c>
      <c r="H232" s="2" t="s">
        <v>40</v>
      </c>
      <c r="I232" s="2" t="s">
        <v>40</v>
      </c>
      <c r="J232" s="2" t="s">
        <v>1890</v>
      </c>
      <c r="K232" s="2" t="s">
        <v>219</v>
      </c>
      <c r="L232" s="2" t="s">
        <v>43</v>
      </c>
      <c r="M232" s="2" t="s">
        <v>44</v>
      </c>
      <c r="N232" s="2"/>
      <c r="O232" s="2" t="n">
        <v>7.933088</v>
      </c>
      <c r="P232" s="2" t="n">
        <v>98.413779</v>
      </c>
      <c r="Q232" s="2"/>
      <c r="R232" s="2" t="s">
        <v>1891</v>
      </c>
      <c r="S232" s="2"/>
      <c r="T232" s="2"/>
      <c r="U232" s="2" t="s">
        <v>1892</v>
      </c>
      <c r="V232" s="2"/>
      <c r="W232" s="2" t="s">
        <v>249</v>
      </c>
      <c r="X232" s="2"/>
      <c r="Y232" s="2" t="s">
        <v>48</v>
      </c>
      <c r="Z232" s="3" t="s">
        <v>1893</v>
      </c>
      <c r="AA232" s="2" t="s">
        <v>40</v>
      </c>
      <c r="AB232" s="2" t="s">
        <v>50</v>
      </c>
      <c r="AC232" s="2" t="n">
        <v>0</v>
      </c>
      <c r="AD232" s="2" t="n">
        <v>772</v>
      </c>
      <c r="AE232" s="2" t="n">
        <v>0</v>
      </c>
      <c r="AF232" s="2"/>
      <c r="AG232" s="2" t="s">
        <v>1894</v>
      </c>
      <c r="AH232" s="2" t="s">
        <v>1895</v>
      </c>
      <c r="AI232" s="2" t="n">
        <v>0</v>
      </c>
    </row>
    <row r="233" customFormat="false" ht="15" hidden="false" customHeight="false" outlineLevel="0" collapsed="false">
      <c r="A233" s="2" t="n">
        <v>91473</v>
      </c>
      <c r="B233" s="2" t="s">
        <v>1896</v>
      </c>
      <c r="C233" s="2"/>
      <c r="D233" s="2" t="s">
        <v>1897</v>
      </c>
      <c r="E233" s="2" t="s">
        <v>117</v>
      </c>
      <c r="F233" s="2" t="s">
        <v>38</v>
      </c>
      <c r="G233" s="2" t="s">
        <v>39</v>
      </c>
      <c r="H233" s="2" t="s">
        <v>40</v>
      </c>
      <c r="I233" s="2" t="s">
        <v>40</v>
      </c>
      <c r="J233" s="2" t="s">
        <v>1898</v>
      </c>
      <c r="K233" s="2" t="s">
        <v>68</v>
      </c>
      <c r="L233" s="2" t="s">
        <v>43</v>
      </c>
      <c r="M233" s="2" t="s">
        <v>44</v>
      </c>
      <c r="N233" s="2"/>
      <c r="O233" s="2" t="n">
        <v>7.902275</v>
      </c>
      <c r="P233" s="2" t="n">
        <v>98.37884</v>
      </c>
      <c r="Q233" s="2"/>
      <c r="R233" s="2" t="s">
        <v>1899</v>
      </c>
      <c r="S233" s="2"/>
      <c r="T233" s="2"/>
      <c r="U233" s="2" t="s">
        <v>1900</v>
      </c>
      <c r="V233" s="2"/>
      <c r="W233" s="2" t="s">
        <v>71</v>
      </c>
      <c r="X233" s="2"/>
      <c r="Y233" s="2" t="s">
        <v>48</v>
      </c>
      <c r="Z233" s="3" t="s">
        <v>1901</v>
      </c>
      <c r="AA233" s="2" t="s">
        <v>40</v>
      </c>
      <c r="AB233" s="2" t="s">
        <v>50</v>
      </c>
      <c r="AC233" s="2" t="n">
        <v>0</v>
      </c>
      <c r="AD233" s="2" t="n">
        <v>702</v>
      </c>
      <c r="AE233" s="2" t="n">
        <v>0</v>
      </c>
      <c r="AF233" s="2"/>
      <c r="AG233" s="2" t="s">
        <v>1902</v>
      </c>
      <c r="AH233" s="2" t="s">
        <v>1903</v>
      </c>
      <c r="AI233" s="2" t="n">
        <v>0</v>
      </c>
    </row>
    <row r="234" customFormat="false" ht="15" hidden="false" customHeight="false" outlineLevel="0" collapsed="false">
      <c r="A234" s="2" t="n">
        <v>85577</v>
      </c>
      <c r="B234" s="2" t="s">
        <v>1904</v>
      </c>
      <c r="C234" s="2"/>
      <c r="D234" s="2" t="s">
        <v>1905</v>
      </c>
      <c r="E234" s="2" t="s">
        <v>117</v>
      </c>
      <c r="F234" s="2" t="s">
        <v>237</v>
      </c>
      <c r="G234" s="2" t="s">
        <v>39</v>
      </c>
      <c r="H234" s="2" t="s">
        <v>40</v>
      </c>
      <c r="I234" s="2" t="s">
        <v>40</v>
      </c>
      <c r="J234" s="2" t="s">
        <v>1906</v>
      </c>
      <c r="K234" s="2" t="s">
        <v>42</v>
      </c>
      <c r="L234" s="2" t="s">
        <v>43</v>
      </c>
      <c r="M234" s="2" t="s">
        <v>44</v>
      </c>
      <c r="N234" s="2" t="s">
        <v>1907</v>
      </c>
      <c r="O234" s="2" t="n">
        <v>7.896946181</v>
      </c>
      <c r="P234" s="2" t="n">
        <v>98.3844190836</v>
      </c>
      <c r="Q234" s="2"/>
      <c r="R234" s="2"/>
      <c r="S234" s="2"/>
      <c r="T234" s="2"/>
      <c r="U234" s="2"/>
      <c r="V234" s="2"/>
      <c r="W234" s="2" t="s">
        <v>1908</v>
      </c>
      <c r="X234" s="2"/>
      <c r="Y234" s="2" t="s">
        <v>1909</v>
      </c>
      <c r="Z234" s="3" t="s">
        <v>1910</v>
      </c>
      <c r="AA234" s="2" t="s">
        <v>40</v>
      </c>
      <c r="AB234" s="2" t="s">
        <v>50</v>
      </c>
      <c r="AC234" s="2" t="n">
        <v>0</v>
      </c>
      <c r="AD234" s="2" t="n">
        <v>760</v>
      </c>
      <c r="AE234" s="2" t="n">
        <v>0</v>
      </c>
      <c r="AF234" s="2"/>
      <c r="AG234" s="2" t="s">
        <v>1911</v>
      </c>
      <c r="AH234" s="2" t="s">
        <v>1912</v>
      </c>
      <c r="AI234" s="2" t="n">
        <v>0</v>
      </c>
    </row>
    <row r="235" customFormat="false" ht="15" hidden="false" customHeight="false" outlineLevel="0" collapsed="false">
      <c r="A235" s="2" t="n">
        <v>90801</v>
      </c>
      <c r="B235" s="2" t="s">
        <v>1913</v>
      </c>
      <c r="C235" s="2"/>
      <c r="D235" s="2" t="s">
        <v>1914</v>
      </c>
      <c r="E235" s="2" t="s">
        <v>37</v>
      </c>
      <c r="F235" s="2" t="s">
        <v>106</v>
      </c>
      <c r="G235" s="2" t="s">
        <v>39</v>
      </c>
      <c r="H235" s="2" t="s">
        <v>40</v>
      </c>
      <c r="I235" s="2" t="s">
        <v>40</v>
      </c>
      <c r="J235" s="2" t="s">
        <v>1915</v>
      </c>
      <c r="K235" s="2" t="s">
        <v>68</v>
      </c>
      <c r="L235" s="2" t="s">
        <v>43</v>
      </c>
      <c r="M235" s="2" t="s">
        <v>44</v>
      </c>
      <c r="N235" s="2"/>
      <c r="O235" s="2" t="n">
        <v>7.9000553</v>
      </c>
      <c r="P235" s="2" t="n">
        <v>98.3821297</v>
      </c>
      <c r="Q235" s="2"/>
      <c r="R235" s="2" t="s">
        <v>1916</v>
      </c>
      <c r="S235" s="2"/>
      <c r="T235" s="2"/>
      <c r="U235" s="2" t="s">
        <v>1917</v>
      </c>
      <c r="V235" s="2"/>
      <c r="W235" s="2" t="s">
        <v>351</v>
      </c>
      <c r="X235" s="2"/>
      <c r="Y235" s="2" t="s">
        <v>48</v>
      </c>
      <c r="Z235" s="3" t="s">
        <v>1918</v>
      </c>
      <c r="AA235" s="2" t="s">
        <v>40</v>
      </c>
      <c r="AB235" s="2" t="s">
        <v>50</v>
      </c>
      <c r="AC235" s="2" t="n">
        <v>0</v>
      </c>
      <c r="AD235" s="2" t="n">
        <v>728</v>
      </c>
      <c r="AE235" s="2" t="n">
        <v>1</v>
      </c>
      <c r="AF235" s="2"/>
      <c r="AG235" s="2" t="s">
        <v>1919</v>
      </c>
      <c r="AH235" s="2" t="s">
        <v>1920</v>
      </c>
      <c r="AI235" s="2" t="n">
        <v>0</v>
      </c>
    </row>
    <row r="236" customFormat="false" ht="15" hidden="false" customHeight="false" outlineLevel="0" collapsed="false">
      <c r="A236" s="2" t="n">
        <v>90845</v>
      </c>
      <c r="B236" s="2" t="s">
        <v>1921</v>
      </c>
      <c r="C236" s="2"/>
      <c r="D236" s="2" t="s">
        <v>236</v>
      </c>
      <c r="E236" s="2" t="s">
        <v>55</v>
      </c>
      <c r="F236" s="2" t="s">
        <v>38</v>
      </c>
      <c r="G236" s="2" t="s">
        <v>39</v>
      </c>
      <c r="H236" s="2" t="s">
        <v>40</v>
      </c>
      <c r="I236" s="2" t="s">
        <v>40</v>
      </c>
      <c r="J236" s="2" t="s">
        <v>1922</v>
      </c>
      <c r="K236" s="2" t="s">
        <v>108</v>
      </c>
      <c r="L236" s="2" t="s">
        <v>109</v>
      </c>
      <c r="M236" s="2" t="s">
        <v>44</v>
      </c>
      <c r="N236" s="2"/>
      <c r="O236" s="2" t="n">
        <v>7.9029863</v>
      </c>
      <c r="P236" s="2" t="n">
        <v>98.308318</v>
      </c>
      <c r="Q236" s="2" t="s">
        <v>1923</v>
      </c>
      <c r="R236" s="2"/>
      <c r="S236" s="2"/>
      <c r="T236" s="2"/>
      <c r="U236" s="2" t="s">
        <v>1924</v>
      </c>
      <c r="V236" s="2"/>
      <c r="W236" s="2" t="s">
        <v>708</v>
      </c>
      <c r="X236" s="2"/>
      <c r="Y236" s="2" t="s">
        <v>48</v>
      </c>
      <c r="Z236" s="3" t="s">
        <v>1925</v>
      </c>
      <c r="AA236" s="2" t="s">
        <v>40</v>
      </c>
      <c r="AB236" s="2" t="s">
        <v>50</v>
      </c>
      <c r="AC236" s="2" t="n">
        <v>0</v>
      </c>
      <c r="AD236" s="2" t="n">
        <v>599</v>
      </c>
      <c r="AE236" s="2" t="n">
        <v>0</v>
      </c>
      <c r="AF236" s="2"/>
      <c r="AG236" s="2" t="s">
        <v>1926</v>
      </c>
      <c r="AH236" s="2" t="s">
        <v>1927</v>
      </c>
      <c r="AI236" s="2" t="n">
        <v>0</v>
      </c>
    </row>
    <row r="237" customFormat="false" ht="15" hidden="false" customHeight="false" outlineLevel="0" collapsed="false">
      <c r="A237" s="2" t="n">
        <v>91437</v>
      </c>
      <c r="B237" s="2" t="s">
        <v>1928</v>
      </c>
      <c r="C237" s="2"/>
      <c r="D237" s="2" t="s">
        <v>1929</v>
      </c>
      <c r="E237" s="2" t="s">
        <v>117</v>
      </c>
      <c r="F237" s="2" t="s">
        <v>129</v>
      </c>
      <c r="G237" s="2" t="s">
        <v>39</v>
      </c>
      <c r="H237" s="2" t="s">
        <v>40</v>
      </c>
      <c r="I237" s="2" t="s">
        <v>40</v>
      </c>
      <c r="J237" s="2" t="s">
        <v>854</v>
      </c>
      <c r="K237" s="2" t="s">
        <v>78</v>
      </c>
      <c r="L237" s="2" t="s">
        <v>43</v>
      </c>
      <c r="M237" s="2" t="s">
        <v>44</v>
      </c>
      <c r="N237" s="2"/>
      <c r="O237" s="2" t="n">
        <v>7.9079066</v>
      </c>
      <c r="P237" s="2" t="n">
        <v>98.3709824</v>
      </c>
      <c r="Q237" s="2"/>
      <c r="R237" s="2" t="s">
        <v>1930</v>
      </c>
      <c r="S237" s="2"/>
      <c r="T237" s="2"/>
      <c r="U237" s="2" t="s">
        <v>1931</v>
      </c>
      <c r="V237" s="2"/>
      <c r="W237" s="2" t="s">
        <v>1932</v>
      </c>
      <c r="X237" s="2"/>
      <c r="Y237" s="2" t="s">
        <v>48</v>
      </c>
      <c r="Z237" s="3" t="s">
        <v>1933</v>
      </c>
      <c r="AA237" s="2" t="s">
        <v>40</v>
      </c>
      <c r="AB237" s="2" t="s">
        <v>50</v>
      </c>
      <c r="AC237" s="2" t="n">
        <v>0</v>
      </c>
      <c r="AD237" s="2" t="n">
        <v>741</v>
      </c>
      <c r="AE237" s="2" t="n">
        <v>0</v>
      </c>
      <c r="AF237" s="2"/>
      <c r="AG237" s="2" t="s">
        <v>1934</v>
      </c>
      <c r="AH237" s="2" t="s">
        <v>1935</v>
      </c>
      <c r="AI237" s="2" t="n">
        <v>0</v>
      </c>
    </row>
    <row r="238" customFormat="false" ht="15" hidden="false" customHeight="false" outlineLevel="0" collapsed="false">
      <c r="A238" s="2" t="n">
        <v>91174</v>
      </c>
      <c r="B238" s="2" t="s">
        <v>1936</v>
      </c>
      <c r="C238" s="2"/>
      <c r="D238" s="2" t="s">
        <v>1937</v>
      </c>
      <c r="E238" s="2" t="s">
        <v>37</v>
      </c>
      <c r="F238" s="2" t="s">
        <v>38</v>
      </c>
      <c r="G238" s="2" t="s">
        <v>39</v>
      </c>
      <c r="H238" s="2" t="s">
        <v>40</v>
      </c>
      <c r="I238" s="2" t="s">
        <v>40</v>
      </c>
      <c r="J238" s="2" t="s">
        <v>41</v>
      </c>
      <c r="K238" s="2" t="s">
        <v>42</v>
      </c>
      <c r="L238" s="2" t="s">
        <v>43</v>
      </c>
      <c r="M238" s="2" t="s">
        <v>44</v>
      </c>
      <c r="N238" s="2"/>
      <c r="O238" s="2" t="n">
        <v>7.875485</v>
      </c>
      <c r="P238" s="2" t="n">
        <v>98.379059</v>
      </c>
      <c r="Q238" s="2"/>
      <c r="R238" s="2" t="s">
        <v>1938</v>
      </c>
      <c r="S238" s="2"/>
      <c r="T238" s="2"/>
      <c r="U238" s="2" t="s">
        <v>1939</v>
      </c>
      <c r="V238" s="2"/>
      <c r="W238" s="2" t="s">
        <v>1940</v>
      </c>
      <c r="X238" s="2"/>
      <c r="Y238" s="2" t="s">
        <v>48</v>
      </c>
      <c r="Z238" s="3" t="s">
        <v>1941</v>
      </c>
      <c r="AA238" s="2" t="s">
        <v>40</v>
      </c>
      <c r="AB238" s="2" t="s">
        <v>50</v>
      </c>
      <c r="AC238" s="2" t="n">
        <v>0</v>
      </c>
      <c r="AD238" s="2" t="n">
        <v>994</v>
      </c>
      <c r="AE238" s="2" t="n">
        <v>0</v>
      </c>
      <c r="AF238" s="2"/>
      <c r="AG238" s="2" t="s">
        <v>1942</v>
      </c>
      <c r="AH238" s="2" t="s">
        <v>1943</v>
      </c>
      <c r="AI238" s="2" t="n">
        <v>0</v>
      </c>
    </row>
    <row r="239" customFormat="false" ht="15" hidden="false" customHeight="false" outlineLevel="0" collapsed="false">
      <c r="A239" s="2" t="n">
        <v>91240</v>
      </c>
      <c r="B239" s="2" t="s">
        <v>1944</v>
      </c>
      <c r="C239" s="2"/>
      <c r="D239" s="2" t="s">
        <v>1945</v>
      </c>
      <c r="E239" s="2" t="s">
        <v>117</v>
      </c>
      <c r="F239" s="2" t="s">
        <v>106</v>
      </c>
      <c r="G239" s="2" t="s">
        <v>39</v>
      </c>
      <c r="H239" s="2" t="s">
        <v>40</v>
      </c>
      <c r="I239" s="2" t="s">
        <v>40</v>
      </c>
      <c r="J239" s="2" t="s">
        <v>1915</v>
      </c>
      <c r="K239" s="2" t="s">
        <v>68</v>
      </c>
      <c r="L239" s="2" t="s">
        <v>43</v>
      </c>
      <c r="M239" s="2" t="s">
        <v>44</v>
      </c>
      <c r="N239" s="2"/>
      <c r="O239" s="2" t="n">
        <v>7.8998832</v>
      </c>
      <c r="P239" s="2" t="n">
        <v>98.3821768</v>
      </c>
      <c r="Q239" s="2"/>
      <c r="R239" s="2" t="s">
        <v>1946</v>
      </c>
      <c r="S239" s="2"/>
      <c r="T239" s="2"/>
      <c r="U239" s="2" t="s">
        <v>1947</v>
      </c>
      <c r="V239" s="2"/>
      <c r="W239" s="2" t="s">
        <v>152</v>
      </c>
      <c r="X239" s="2"/>
      <c r="Y239" s="2" t="s">
        <v>48</v>
      </c>
      <c r="Z239" s="3" t="s">
        <v>1948</v>
      </c>
      <c r="AA239" s="2" t="s">
        <v>40</v>
      </c>
      <c r="AB239" s="2" t="s">
        <v>50</v>
      </c>
      <c r="AC239" s="2" t="n">
        <v>0</v>
      </c>
      <c r="AD239" s="2" t="n">
        <v>736</v>
      </c>
      <c r="AE239" s="2" t="n">
        <v>1</v>
      </c>
      <c r="AF239" s="2"/>
      <c r="AG239" s="2" t="s">
        <v>1949</v>
      </c>
      <c r="AH239" s="2" t="s">
        <v>1950</v>
      </c>
      <c r="AI239" s="2" t="n">
        <v>0</v>
      </c>
    </row>
    <row r="240" customFormat="false" ht="15" hidden="false" customHeight="false" outlineLevel="0" collapsed="false">
      <c r="A240" s="2" t="n">
        <v>91417</v>
      </c>
      <c r="B240" s="2" t="s">
        <v>1951</v>
      </c>
      <c r="C240" s="2"/>
      <c r="D240" s="2" t="s">
        <v>236</v>
      </c>
      <c r="E240" s="2" t="s">
        <v>55</v>
      </c>
      <c r="F240" s="2" t="s">
        <v>38</v>
      </c>
      <c r="G240" s="2" t="s">
        <v>39</v>
      </c>
      <c r="H240" s="2" t="s">
        <v>40</v>
      </c>
      <c r="I240" s="2" t="s">
        <v>40</v>
      </c>
      <c r="J240" s="2" t="s">
        <v>1952</v>
      </c>
      <c r="K240" s="2" t="s">
        <v>1953</v>
      </c>
      <c r="L240" s="2" t="s">
        <v>58</v>
      </c>
      <c r="M240" s="2" t="s">
        <v>44</v>
      </c>
      <c r="N240" s="2"/>
      <c r="O240" s="2" t="n">
        <v>7.979779</v>
      </c>
      <c r="P240" s="2" t="n">
        <v>98.333317</v>
      </c>
      <c r="Q240" s="2"/>
      <c r="R240" s="2" t="s">
        <v>1954</v>
      </c>
      <c r="S240" s="2"/>
      <c r="T240" s="2"/>
      <c r="U240" s="2" t="s">
        <v>1955</v>
      </c>
      <c r="V240" s="2"/>
      <c r="W240" s="2" t="s">
        <v>1956</v>
      </c>
      <c r="X240" s="2"/>
      <c r="Y240" s="2" t="s">
        <v>48</v>
      </c>
      <c r="Z240" s="3" t="s">
        <v>1957</v>
      </c>
      <c r="AA240" s="2" t="s">
        <v>40</v>
      </c>
      <c r="AB240" s="2" t="s">
        <v>50</v>
      </c>
      <c r="AC240" s="2" t="n">
        <v>0</v>
      </c>
      <c r="AD240" s="2" t="n">
        <v>706</v>
      </c>
      <c r="AE240" s="2" t="n">
        <v>0</v>
      </c>
      <c r="AF240" s="2"/>
      <c r="AG240" s="2" t="s">
        <v>1958</v>
      </c>
      <c r="AH240" s="2" t="s">
        <v>1959</v>
      </c>
      <c r="AI240" s="2" t="n">
        <v>0</v>
      </c>
    </row>
    <row r="241" customFormat="false" ht="15" hidden="false" customHeight="false" outlineLevel="0" collapsed="false">
      <c r="A241" s="2" t="n">
        <v>91463</v>
      </c>
      <c r="B241" s="2" t="s">
        <v>1960</v>
      </c>
      <c r="C241" s="2"/>
      <c r="D241" s="2" t="s">
        <v>1961</v>
      </c>
      <c r="E241" s="2" t="s">
        <v>37</v>
      </c>
      <c r="F241" s="2" t="s">
        <v>118</v>
      </c>
      <c r="G241" s="2" t="s">
        <v>39</v>
      </c>
      <c r="H241" s="2" t="s">
        <v>40</v>
      </c>
      <c r="I241" s="2" t="s">
        <v>40</v>
      </c>
      <c r="J241" s="2" t="s">
        <v>1962</v>
      </c>
      <c r="K241" s="2" t="s">
        <v>42</v>
      </c>
      <c r="L241" s="2" t="s">
        <v>43</v>
      </c>
      <c r="M241" s="2" t="s">
        <v>44</v>
      </c>
      <c r="N241" s="2"/>
      <c r="O241" s="2" t="n">
        <v>7.888729</v>
      </c>
      <c r="P241" s="2" t="n">
        <v>98.382044</v>
      </c>
      <c r="Q241" s="2"/>
      <c r="R241" s="2" t="s">
        <v>1963</v>
      </c>
      <c r="S241" s="2"/>
      <c r="T241" s="2"/>
      <c r="U241" s="2" t="s">
        <v>1964</v>
      </c>
      <c r="V241" s="2"/>
      <c r="W241" s="2" t="s">
        <v>990</v>
      </c>
      <c r="X241" s="2"/>
      <c r="Y241" s="2" t="s">
        <v>48</v>
      </c>
      <c r="Z241" s="3" t="s">
        <v>1965</v>
      </c>
      <c r="AA241" s="2" t="s">
        <v>40</v>
      </c>
      <c r="AB241" s="2" t="s">
        <v>50</v>
      </c>
      <c r="AC241" s="2" t="n">
        <v>0</v>
      </c>
      <c r="AD241" s="2" t="n">
        <v>555</v>
      </c>
      <c r="AE241" s="2" t="n">
        <v>0</v>
      </c>
      <c r="AF241" s="2"/>
      <c r="AG241" s="2" t="s">
        <v>1966</v>
      </c>
      <c r="AH241" s="2" t="s">
        <v>1967</v>
      </c>
      <c r="AI241" s="2" t="n">
        <v>0</v>
      </c>
    </row>
    <row r="242" customFormat="false" ht="15" hidden="false" customHeight="false" outlineLevel="0" collapsed="false">
      <c r="A242" s="2" t="n">
        <v>91304</v>
      </c>
      <c r="B242" s="2" t="s">
        <v>1968</v>
      </c>
      <c r="C242" s="2"/>
      <c r="D242" s="2" t="s">
        <v>1969</v>
      </c>
      <c r="E242" s="2" t="s">
        <v>117</v>
      </c>
      <c r="F242" s="2" t="s">
        <v>38</v>
      </c>
      <c r="G242" s="2" t="s">
        <v>39</v>
      </c>
      <c r="H242" s="2" t="s">
        <v>40</v>
      </c>
      <c r="I242" s="2" t="s">
        <v>40</v>
      </c>
      <c r="J242" s="2" t="s">
        <v>1970</v>
      </c>
      <c r="K242" s="2" t="s">
        <v>42</v>
      </c>
      <c r="L242" s="2" t="s">
        <v>43</v>
      </c>
      <c r="M242" s="2" t="s">
        <v>44</v>
      </c>
      <c r="N242" s="2"/>
      <c r="O242" s="2" t="n">
        <v>7.877414</v>
      </c>
      <c r="P242" s="2" t="n">
        <v>98.389289</v>
      </c>
      <c r="Q242" s="2"/>
      <c r="R242" s="2" t="s">
        <v>1971</v>
      </c>
      <c r="S242" s="2"/>
      <c r="T242" s="2"/>
      <c r="U242" s="2" t="s">
        <v>1972</v>
      </c>
      <c r="V242" s="2"/>
      <c r="W242" s="2" t="s">
        <v>1973</v>
      </c>
      <c r="X242" s="2"/>
      <c r="Y242" s="2" t="s">
        <v>48</v>
      </c>
      <c r="Z242" s="3" t="s">
        <v>1974</v>
      </c>
      <c r="AA242" s="2" t="s">
        <v>40</v>
      </c>
      <c r="AB242" s="2" t="s">
        <v>50</v>
      </c>
      <c r="AC242" s="2" t="n">
        <v>0</v>
      </c>
      <c r="AD242" s="2" t="n">
        <v>693</v>
      </c>
      <c r="AE242" s="2" t="n">
        <v>1</v>
      </c>
      <c r="AF242" s="2"/>
      <c r="AG242" s="2" t="s">
        <v>1975</v>
      </c>
      <c r="AH242" s="2" t="s">
        <v>1976</v>
      </c>
      <c r="AI242" s="2" t="n">
        <v>0</v>
      </c>
    </row>
    <row r="243" customFormat="false" ht="15" hidden="false" customHeight="false" outlineLevel="0" collapsed="false">
      <c r="A243" s="2" t="n">
        <v>91146</v>
      </c>
      <c r="B243" s="2" t="s">
        <v>1977</v>
      </c>
      <c r="C243" s="2"/>
      <c r="D243" s="2" t="s">
        <v>227</v>
      </c>
      <c r="E243" s="2" t="s">
        <v>117</v>
      </c>
      <c r="F243" s="2" t="s">
        <v>38</v>
      </c>
      <c r="G243" s="2" t="s">
        <v>39</v>
      </c>
      <c r="H243" s="2" t="s">
        <v>40</v>
      </c>
      <c r="I243" s="2" t="s">
        <v>40</v>
      </c>
      <c r="J243" s="2" t="s">
        <v>696</v>
      </c>
      <c r="K243" s="2" t="s">
        <v>42</v>
      </c>
      <c r="L243" s="2" t="s">
        <v>43</v>
      </c>
      <c r="M243" s="2" t="s">
        <v>44</v>
      </c>
      <c r="N243" s="2"/>
      <c r="O243" s="2" t="n">
        <v>7.8806901</v>
      </c>
      <c r="P243" s="2" t="n">
        <v>98.3739125</v>
      </c>
      <c r="Q243" s="2"/>
      <c r="R243" s="2" t="s">
        <v>1978</v>
      </c>
      <c r="S243" s="2"/>
      <c r="T243" s="2"/>
      <c r="U243" s="2" t="s">
        <v>1979</v>
      </c>
      <c r="V243" s="2"/>
      <c r="W243" s="2" t="s">
        <v>1980</v>
      </c>
      <c r="X243" s="2"/>
      <c r="Y243" s="2" t="s">
        <v>48</v>
      </c>
      <c r="Z243" s="3" t="s">
        <v>1981</v>
      </c>
      <c r="AA243" s="2" t="s">
        <v>40</v>
      </c>
      <c r="AB243" s="2" t="s">
        <v>50</v>
      </c>
      <c r="AC243" s="2" t="n">
        <v>0</v>
      </c>
      <c r="AD243" s="2" t="n">
        <v>1079</v>
      </c>
      <c r="AE243" s="2" t="n">
        <v>0</v>
      </c>
      <c r="AF243" s="2"/>
      <c r="AG243" s="2" t="s">
        <v>1982</v>
      </c>
      <c r="AH243" s="2" t="s">
        <v>1983</v>
      </c>
      <c r="AI243" s="2" t="n">
        <v>0</v>
      </c>
    </row>
    <row r="244" customFormat="false" ht="15" hidden="false" customHeight="false" outlineLevel="0" collapsed="false">
      <c r="A244" s="2" t="n">
        <v>90835</v>
      </c>
      <c r="B244" s="2" t="s">
        <v>1984</v>
      </c>
      <c r="C244" s="2"/>
      <c r="D244" s="2" t="s">
        <v>1945</v>
      </c>
      <c r="E244" s="2" t="s">
        <v>117</v>
      </c>
      <c r="F244" s="2" t="s">
        <v>106</v>
      </c>
      <c r="G244" s="2" t="s">
        <v>39</v>
      </c>
      <c r="H244" s="2" t="s">
        <v>40</v>
      </c>
      <c r="I244" s="2" t="s">
        <v>40</v>
      </c>
      <c r="J244" s="2" t="s">
        <v>1985</v>
      </c>
      <c r="K244" s="2" t="s">
        <v>42</v>
      </c>
      <c r="L244" s="2" t="s">
        <v>43</v>
      </c>
      <c r="M244" s="2" t="s">
        <v>44</v>
      </c>
      <c r="N244" s="2"/>
      <c r="O244" s="2" t="n">
        <v>7.88148</v>
      </c>
      <c r="P244" s="2" t="n">
        <v>98.382674</v>
      </c>
      <c r="Q244" s="2"/>
      <c r="R244" s="2" t="s">
        <v>1986</v>
      </c>
      <c r="S244" s="2"/>
      <c r="T244" s="2"/>
      <c r="U244" s="2" t="s">
        <v>1987</v>
      </c>
      <c r="V244" s="2"/>
      <c r="W244" s="2" t="s">
        <v>1988</v>
      </c>
      <c r="X244" s="2"/>
      <c r="Y244" s="2" t="s">
        <v>48</v>
      </c>
      <c r="Z244" s="3" t="s">
        <v>1989</v>
      </c>
      <c r="AA244" s="2" t="s">
        <v>40</v>
      </c>
      <c r="AB244" s="2" t="s">
        <v>50</v>
      </c>
      <c r="AC244" s="2" t="n">
        <v>0</v>
      </c>
      <c r="AD244" s="2" t="n">
        <v>879</v>
      </c>
      <c r="AE244" s="2" t="n">
        <v>1</v>
      </c>
      <c r="AF244" s="2"/>
      <c r="AG244" s="2" t="s">
        <v>1990</v>
      </c>
      <c r="AH244" s="2" t="s">
        <v>1991</v>
      </c>
      <c r="AI244" s="2" t="n">
        <v>0</v>
      </c>
    </row>
    <row r="245" customFormat="false" ht="15" hidden="false" customHeight="false" outlineLevel="0" collapsed="false">
      <c r="A245" s="2" t="n">
        <v>91451</v>
      </c>
      <c r="B245" s="2" t="s">
        <v>1992</v>
      </c>
      <c r="C245" s="2"/>
      <c r="D245" s="2" t="s">
        <v>1945</v>
      </c>
      <c r="E245" s="2" t="s">
        <v>117</v>
      </c>
      <c r="F245" s="2" t="s">
        <v>38</v>
      </c>
      <c r="G245" s="2" t="s">
        <v>39</v>
      </c>
      <c r="H245" s="2" t="s">
        <v>40</v>
      </c>
      <c r="I245" s="2" t="s">
        <v>40</v>
      </c>
      <c r="J245" s="2" t="s">
        <v>407</v>
      </c>
      <c r="K245" s="2" t="s">
        <v>78</v>
      </c>
      <c r="L245" s="2" t="s">
        <v>43</v>
      </c>
      <c r="M245" s="2" t="s">
        <v>44</v>
      </c>
      <c r="N245" s="2"/>
      <c r="O245" s="2" t="n">
        <v>7.8875159</v>
      </c>
      <c r="P245" s="2" t="n">
        <v>98.3759457</v>
      </c>
      <c r="Q245" s="2"/>
      <c r="R245" s="2" t="s">
        <v>1993</v>
      </c>
      <c r="S245" s="2"/>
      <c r="T245" s="2"/>
      <c r="U245" s="2" t="s">
        <v>1994</v>
      </c>
      <c r="V245" s="2"/>
      <c r="W245" s="2" t="s">
        <v>1995</v>
      </c>
      <c r="X245" s="2"/>
      <c r="Y245" s="2" t="s">
        <v>48</v>
      </c>
      <c r="Z245" s="3" t="s">
        <v>1996</v>
      </c>
      <c r="AA245" s="2" t="s">
        <v>40</v>
      </c>
      <c r="AB245" s="2" t="s">
        <v>50</v>
      </c>
      <c r="AC245" s="2" t="n">
        <v>0</v>
      </c>
      <c r="AD245" s="2" t="n">
        <v>700</v>
      </c>
      <c r="AE245" s="2" t="n">
        <v>1</v>
      </c>
      <c r="AF245" s="2"/>
      <c r="AG245" s="2" t="s">
        <v>1997</v>
      </c>
      <c r="AH245" s="2" t="s">
        <v>1998</v>
      </c>
      <c r="AI245" s="2" t="n">
        <v>0</v>
      </c>
    </row>
    <row r="246" customFormat="false" ht="15" hidden="false" customHeight="false" outlineLevel="0" collapsed="false">
      <c r="A246" s="2" t="n">
        <v>91786</v>
      </c>
      <c r="B246" s="2" t="s">
        <v>1999</v>
      </c>
      <c r="C246" s="2"/>
      <c r="D246" s="2" t="s">
        <v>1945</v>
      </c>
      <c r="E246" s="2" t="s">
        <v>117</v>
      </c>
      <c r="F246" s="2" t="s">
        <v>38</v>
      </c>
      <c r="G246" s="2" t="s">
        <v>39</v>
      </c>
      <c r="H246" s="2" t="s">
        <v>40</v>
      </c>
      <c r="I246" s="2" t="s">
        <v>40</v>
      </c>
      <c r="J246" s="2" t="s">
        <v>2000</v>
      </c>
      <c r="K246" s="2" t="s">
        <v>68</v>
      </c>
      <c r="L246" s="2" t="s">
        <v>43</v>
      </c>
      <c r="M246" s="2" t="s">
        <v>44</v>
      </c>
      <c r="N246" s="2"/>
      <c r="O246" s="2" t="n">
        <v>7.88594</v>
      </c>
      <c r="P246" s="2" t="n">
        <v>98.389761</v>
      </c>
      <c r="Q246" s="2"/>
      <c r="R246" s="2" t="s">
        <v>2001</v>
      </c>
      <c r="S246" s="2"/>
      <c r="T246" s="2"/>
      <c r="U246" s="2" t="s">
        <v>2002</v>
      </c>
      <c r="V246" s="2"/>
      <c r="W246" s="2" t="s">
        <v>2003</v>
      </c>
      <c r="X246" s="2"/>
      <c r="Y246" s="2" t="s">
        <v>48</v>
      </c>
      <c r="Z246" s="3" t="s">
        <v>2004</v>
      </c>
      <c r="AA246" s="2" t="s">
        <v>40</v>
      </c>
      <c r="AB246" s="2" t="s">
        <v>50</v>
      </c>
      <c r="AC246" s="2" t="n">
        <v>0</v>
      </c>
      <c r="AD246" s="2" t="n">
        <v>667</v>
      </c>
      <c r="AE246" s="2" t="n">
        <v>0</v>
      </c>
      <c r="AF246" s="2"/>
      <c r="AG246" s="2" t="s">
        <v>2005</v>
      </c>
      <c r="AH246" s="2" t="s">
        <v>2006</v>
      </c>
      <c r="AI246" s="2" t="n">
        <v>0</v>
      </c>
    </row>
    <row r="247" customFormat="false" ht="15" hidden="false" customHeight="false" outlineLevel="0" collapsed="false">
      <c r="A247" s="2" t="n">
        <v>90858</v>
      </c>
      <c r="B247" s="2" t="s">
        <v>2007</v>
      </c>
      <c r="C247" s="2"/>
      <c r="D247" s="2" t="s">
        <v>1945</v>
      </c>
      <c r="E247" s="2" t="s">
        <v>117</v>
      </c>
      <c r="F247" s="2" t="s">
        <v>129</v>
      </c>
      <c r="G247" s="2" t="s">
        <v>39</v>
      </c>
      <c r="H247" s="2" t="s">
        <v>40</v>
      </c>
      <c r="I247" s="2" t="s">
        <v>40</v>
      </c>
      <c r="J247" s="2" t="s">
        <v>2008</v>
      </c>
      <c r="K247" s="2" t="s">
        <v>68</v>
      </c>
      <c r="L247" s="2" t="s">
        <v>43</v>
      </c>
      <c r="M247" s="2" t="s">
        <v>44</v>
      </c>
      <c r="N247" s="2"/>
      <c r="O247" s="2" t="n">
        <v>7.902952</v>
      </c>
      <c r="P247" s="2" t="n">
        <v>98.37773</v>
      </c>
      <c r="Q247" s="2"/>
      <c r="R247" s="2" t="s">
        <v>2009</v>
      </c>
      <c r="S247" s="2"/>
      <c r="T247" s="2"/>
      <c r="U247" s="2" t="s">
        <v>2010</v>
      </c>
      <c r="V247" s="2"/>
      <c r="W247" s="2" t="s">
        <v>2011</v>
      </c>
      <c r="X247" s="2"/>
      <c r="Y247" s="2" t="s">
        <v>48</v>
      </c>
      <c r="Z247" s="3" t="s">
        <v>2012</v>
      </c>
      <c r="AA247" s="2" t="s">
        <v>40</v>
      </c>
      <c r="AB247" s="2" t="s">
        <v>50</v>
      </c>
      <c r="AC247" s="2" t="n">
        <v>0</v>
      </c>
      <c r="AD247" s="2" t="n">
        <v>1188</v>
      </c>
      <c r="AE247" s="2" t="n">
        <v>1</v>
      </c>
      <c r="AF247" s="2"/>
      <c r="AG247" s="2" t="s">
        <v>2013</v>
      </c>
      <c r="AH247" s="2" t="s">
        <v>2014</v>
      </c>
      <c r="AI247" s="2" t="n">
        <v>0</v>
      </c>
    </row>
    <row r="248" customFormat="false" ht="15" hidden="false" customHeight="false" outlineLevel="0" collapsed="false">
      <c r="A248" s="2" t="n">
        <v>91192</v>
      </c>
      <c r="B248" s="2" t="s">
        <v>2015</v>
      </c>
      <c r="C248" s="2"/>
      <c r="D248" s="2" t="s">
        <v>2016</v>
      </c>
      <c r="E248" s="2" t="s">
        <v>117</v>
      </c>
      <c r="F248" s="2" t="s">
        <v>118</v>
      </c>
      <c r="G248" s="2" t="s">
        <v>39</v>
      </c>
      <c r="H248" s="2" t="s">
        <v>40</v>
      </c>
      <c r="I248" s="2" t="s">
        <v>40</v>
      </c>
      <c r="J248" s="2" t="s">
        <v>2017</v>
      </c>
      <c r="K248" s="2" t="s">
        <v>68</v>
      </c>
      <c r="L248" s="2" t="s">
        <v>43</v>
      </c>
      <c r="M248" s="2" t="s">
        <v>44</v>
      </c>
      <c r="N248" s="2"/>
      <c r="O248" s="2" t="n">
        <v>7.901918</v>
      </c>
      <c r="P248" s="2" t="n">
        <v>98.377193</v>
      </c>
      <c r="Q248" s="2"/>
      <c r="R248" s="2" t="s">
        <v>2018</v>
      </c>
      <c r="S248" s="2"/>
      <c r="T248" s="2"/>
      <c r="U248" s="2" t="s">
        <v>2019</v>
      </c>
      <c r="V248" s="2"/>
      <c r="W248" s="2" t="s">
        <v>2020</v>
      </c>
      <c r="X248" s="2"/>
      <c r="Y248" s="2" t="s">
        <v>48</v>
      </c>
      <c r="Z248" s="3" t="s">
        <v>2021</v>
      </c>
      <c r="AA248" s="2" t="s">
        <v>40</v>
      </c>
      <c r="AB248" s="2" t="s">
        <v>50</v>
      </c>
      <c r="AC248" s="2" t="n">
        <v>0</v>
      </c>
      <c r="AD248" s="2" t="n">
        <v>595</v>
      </c>
      <c r="AE248" s="2" t="n">
        <v>1</v>
      </c>
      <c r="AF248" s="2"/>
      <c r="AG248" s="2" t="s">
        <v>2022</v>
      </c>
      <c r="AH248" s="2" t="s">
        <v>2023</v>
      </c>
      <c r="AI248" s="2" t="n">
        <v>0</v>
      </c>
    </row>
    <row r="249" customFormat="false" ht="15" hidden="false" customHeight="false" outlineLevel="0" collapsed="false">
      <c r="A249" s="2" t="n">
        <v>91390</v>
      </c>
      <c r="B249" s="2" t="s">
        <v>2024</v>
      </c>
      <c r="C249" s="2"/>
      <c r="D249" s="2" t="s">
        <v>2025</v>
      </c>
      <c r="E249" s="2" t="s">
        <v>117</v>
      </c>
      <c r="F249" s="2" t="s">
        <v>38</v>
      </c>
      <c r="G249" s="2" t="s">
        <v>39</v>
      </c>
      <c r="H249" s="2" t="s">
        <v>40</v>
      </c>
      <c r="I249" s="2" t="s">
        <v>40</v>
      </c>
      <c r="J249" s="2" t="s">
        <v>2026</v>
      </c>
      <c r="K249" s="2" t="s">
        <v>78</v>
      </c>
      <c r="L249" s="2" t="s">
        <v>43</v>
      </c>
      <c r="M249" s="2" t="s">
        <v>44</v>
      </c>
      <c r="N249" s="2"/>
      <c r="O249" s="2" t="n">
        <v>7.8972714</v>
      </c>
      <c r="P249" s="2" t="n">
        <v>98.4027883</v>
      </c>
      <c r="Q249" s="2" t="s">
        <v>2027</v>
      </c>
      <c r="R249" s="2"/>
      <c r="S249" s="2"/>
      <c r="T249" s="2"/>
      <c r="U249" s="2" t="s">
        <v>2028</v>
      </c>
      <c r="V249" s="2"/>
      <c r="W249" s="2" t="s">
        <v>2029</v>
      </c>
      <c r="X249" s="2"/>
      <c r="Y249" s="2" t="s">
        <v>48</v>
      </c>
      <c r="Z249" s="3" t="s">
        <v>2030</v>
      </c>
      <c r="AA249" s="2" t="s">
        <v>40</v>
      </c>
      <c r="AB249" s="2" t="s">
        <v>50</v>
      </c>
      <c r="AC249" s="2" t="n">
        <v>0</v>
      </c>
      <c r="AD249" s="2" t="n">
        <v>920</v>
      </c>
      <c r="AE249" s="2" t="n">
        <v>0</v>
      </c>
      <c r="AF249" s="2"/>
      <c r="AG249" s="2" t="s">
        <v>2031</v>
      </c>
      <c r="AH249" s="2" t="s">
        <v>2032</v>
      </c>
      <c r="AI249" s="2" t="n">
        <v>0</v>
      </c>
    </row>
    <row r="250" customFormat="false" ht="15" hidden="false" customHeight="false" outlineLevel="0" collapsed="false">
      <c r="A250" s="2" t="n">
        <v>91423</v>
      </c>
      <c r="B250" s="2" t="s">
        <v>2033</v>
      </c>
      <c r="C250" s="2"/>
      <c r="D250" s="2" t="s">
        <v>2034</v>
      </c>
      <c r="E250" s="2" t="s">
        <v>117</v>
      </c>
      <c r="F250" s="2" t="s">
        <v>38</v>
      </c>
      <c r="G250" s="2" t="s">
        <v>39</v>
      </c>
      <c r="H250" s="2" t="s">
        <v>40</v>
      </c>
      <c r="I250" s="2" t="s">
        <v>40</v>
      </c>
      <c r="J250" s="2" t="s">
        <v>1915</v>
      </c>
      <c r="K250" s="2" t="s">
        <v>68</v>
      </c>
      <c r="L250" s="2" t="s">
        <v>43</v>
      </c>
      <c r="M250" s="2" t="s">
        <v>44</v>
      </c>
      <c r="N250" s="2"/>
      <c r="O250" s="2" t="n">
        <v>7.90057</v>
      </c>
      <c r="P250" s="2" t="n">
        <v>98.380234</v>
      </c>
      <c r="Q250" s="2"/>
      <c r="R250" s="2" t="s">
        <v>2035</v>
      </c>
      <c r="S250" s="2"/>
      <c r="T250" s="2"/>
      <c r="U250" s="2" t="s">
        <v>2036</v>
      </c>
      <c r="V250" s="2"/>
      <c r="W250" s="2" t="s">
        <v>2037</v>
      </c>
      <c r="X250" s="2"/>
      <c r="Y250" s="2" t="s">
        <v>48</v>
      </c>
      <c r="Z250" s="3" t="s">
        <v>2038</v>
      </c>
      <c r="AA250" s="2" t="s">
        <v>40</v>
      </c>
      <c r="AB250" s="2" t="s">
        <v>50</v>
      </c>
      <c r="AC250" s="2" t="n">
        <v>0</v>
      </c>
      <c r="AD250" s="2" t="n">
        <v>723</v>
      </c>
      <c r="AE250" s="2" t="n">
        <v>1</v>
      </c>
      <c r="AF250" s="2"/>
      <c r="AG250" s="2" t="s">
        <v>2039</v>
      </c>
      <c r="AH250" s="2" t="s">
        <v>2040</v>
      </c>
      <c r="AI250" s="2" t="n">
        <v>0</v>
      </c>
    </row>
    <row r="251" customFormat="false" ht="15" hidden="false" customHeight="false" outlineLevel="0" collapsed="false">
      <c r="A251" s="2" t="n">
        <v>91979</v>
      </c>
      <c r="B251" s="2" t="s">
        <v>2041</v>
      </c>
      <c r="C251" s="2"/>
      <c r="D251" s="2" t="s">
        <v>2034</v>
      </c>
      <c r="E251" s="2" t="s">
        <v>117</v>
      </c>
      <c r="F251" s="2" t="s">
        <v>38</v>
      </c>
      <c r="G251" s="2" t="s">
        <v>39</v>
      </c>
      <c r="H251" s="2" t="s">
        <v>40</v>
      </c>
      <c r="I251" s="2" t="s">
        <v>40</v>
      </c>
      <c r="J251" s="2" t="s">
        <v>839</v>
      </c>
      <c r="K251" s="2" t="s">
        <v>68</v>
      </c>
      <c r="L251" s="2" t="s">
        <v>43</v>
      </c>
      <c r="M251" s="2" t="s">
        <v>44</v>
      </c>
      <c r="N251" s="2"/>
      <c r="O251" s="2" t="n">
        <v>7.901982</v>
      </c>
      <c r="P251" s="2" t="n">
        <v>98.377476</v>
      </c>
      <c r="Q251" s="2"/>
      <c r="R251" s="2" t="s">
        <v>2042</v>
      </c>
      <c r="S251" s="2"/>
      <c r="T251" s="2"/>
      <c r="U251" s="2" t="s">
        <v>2043</v>
      </c>
      <c r="V251" s="2"/>
      <c r="W251" s="2" t="s">
        <v>1908</v>
      </c>
      <c r="X251" s="2"/>
      <c r="Y251" s="2" t="s">
        <v>48</v>
      </c>
      <c r="Z251" s="3" t="s">
        <v>2044</v>
      </c>
      <c r="AA251" s="2" t="s">
        <v>40</v>
      </c>
      <c r="AB251" s="2" t="s">
        <v>50</v>
      </c>
      <c r="AC251" s="2" t="n">
        <v>0</v>
      </c>
      <c r="AD251" s="2" t="n">
        <v>736</v>
      </c>
      <c r="AE251" s="2" t="n">
        <v>1</v>
      </c>
      <c r="AF251" s="2"/>
      <c r="AG251" s="2" t="s">
        <v>2045</v>
      </c>
      <c r="AH251" s="2" t="s">
        <v>2046</v>
      </c>
      <c r="AI251" s="2" t="n">
        <v>0</v>
      </c>
    </row>
    <row r="252" customFormat="false" ht="15" hidden="false" customHeight="false" outlineLevel="0" collapsed="false">
      <c r="A252" s="2" t="n">
        <v>91251</v>
      </c>
      <c r="B252" s="2" t="s">
        <v>2047</v>
      </c>
      <c r="C252" s="2"/>
      <c r="D252" s="2" t="s">
        <v>2034</v>
      </c>
      <c r="E252" s="2" t="s">
        <v>117</v>
      </c>
      <c r="F252" s="2" t="s">
        <v>106</v>
      </c>
      <c r="G252" s="2" t="s">
        <v>39</v>
      </c>
      <c r="H252" s="2" t="s">
        <v>40</v>
      </c>
      <c r="I252" s="2" t="s">
        <v>40</v>
      </c>
      <c r="J252" s="2" t="s">
        <v>564</v>
      </c>
      <c r="K252" s="2" t="s">
        <v>109</v>
      </c>
      <c r="L252" s="2" t="s">
        <v>109</v>
      </c>
      <c r="M252" s="2" t="s">
        <v>44</v>
      </c>
      <c r="N252" s="2"/>
      <c r="O252" s="2" t="n">
        <v>7.9074555</v>
      </c>
      <c r="P252" s="2" t="n">
        <v>98.3483412</v>
      </c>
      <c r="Q252" s="2"/>
      <c r="R252" s="2" t="s">
        <v>2048</v>
      </c>
      <c r="S252" s="2"/>
      <c r="T252" s="2"/>
      <c r="U252" s="2" t="s">
        <v>2049</v>
      </c>
      <c r="V252" s="2"/>
      <c r="W252" s="2" t="s">
        <v>368</v>
      </c>
      <c r="X252" s="2"/>
      <c r="Y252" s="2" t="s">
        <v>48</v>
      </c>
      <c r="Z252" s="3" t="s">
        <v>2050</v>
      </c>
      <c r="AA252" s="2" t="s">
        <v>40</v>
      </c>
      <c r="AB252" s="2" t="s">
        <v>50</v>
      </c>
      <c r="AC252" s="2" t="n">
        <v>0</v>
      </c>
      <c r="AD252" s="2" t="n">
        <v>893</v>
      </c>
      <c r="AE252" s="2" t="n">
        <v>0</v>
      </c>
      <c r="AF252" s="2"/>
      <c r="AG252" s="2" t="s">
        <v>2051</v>
      </c>
      <c r="AH252" s="2" t="s">
        <v>2052</v>
      </c>
      <c r="AI252" s="2" t="n">
        <v>0</v>
      </c>
    </row>
    <row r="253" customFormat="false" ht="15" hidden="false" customHeight="false" outlineLevel="0" collapsed="false">
      <c r="A253" s="2" t="n">
        <v>91296</v>
      </c>
      <c r="B253" s="2" t="s">
        <v>2053</v>
      </c>
      <c r="C253" s="2"/>
      <c r="D253" s="2" t="s">
        <v>1945</v>
      </c>
      <c r="E253" s="2" t="s">
        <v>117</v>
      </c>
      <c r="F253" s="2" t="s">
        <v>38</v>
      </c>
      <c r="G253" s="2" t="s">
        <v>39</v>
      </c>
      <c r="H253" s="2" t="s">
        <v>40</v>
      </c>
      <c r="I253" s="2" t="s">
        <v>40</v>
      </c>
      <c r="J253" s="2" t="s">
        <v>854</v>
      </c>
      <c r="K253" s="2" t="s">
        <v>78</v>
      </c>
      <c r="L253" s="2" t="s">
        <v>43</v>
      </c>
      <c r="M253" s="2" t="s">
        <v>44</v>
      </c>
      <c r="N253" s="2"/>
      <c r="O253" s="2" t="n">
        <v>7.909432</v>
      </c>
      <c r="P253" s="2" t="n">
        <v>98.370936</v>
      </c>
      <c r="Q253" s="2"/>
      <c r="R253" s="2" t="s">
        <v>2054</v>
      </c>
      <c r="S253" s="2"/>
      <c r="T253" s="2"/>
      <c r="U253" s="2" t="s">
        <v>2055</v>
      </c>
      <c r="V253" s="2"/>
      <c r="W253" s="2" t="s">
        <v>2056</v>
      </c>
      <c r="X253" s="2"/>
      <c r="Y253" s="2" t="s">
        <v>48</v>
      </c>
      <c r="Z253" s="3" t="s">
        <v>2057</v>
      </c>
      <c r="AA253" s="2" t="s">
        <v>40</v>
      </c>
      <c r="AB253" s="2" t="s">
        <v>50</v>
      </c>
      <c r="AC253" s="2" t="n">
        <v>0</v>
      </c>
      <c r="AD253" s="2" t="n">
        <v>915</v>
      </c>
      <c r="AE253" s="2" t="n">
        <v>0</v>
      </c>
      <c r="AF253" s="2"/>
      <c r="AG253" s="2" t="s">
        <v>2058</v>
      </c>
      <c r="AH253" s="2" t="s">
        <v>2059</v>
      </c>
      <c r="AI253" s="2" t="n">
        <v>0</v>
      </c>
    </row>
    <row r="254" customFormat="false" ht="15" hidden="false" customHeight="false" outlineLevel="0" collapsed="false">
      <c r="A254" s="2" t="n">
        <v>90945</v>
      </c>
      <c r="B254" s="2" t="s">
        <v>2060</v>
      </c>
      <c r="C254" s="2"/>
      <c r="D254" s="2" t="s">
        <v>236</v>
      </c>
      <c r="E254" s="2" t="s">
        <v>117</v>
      </c>
      <c r="F254" s="2" t="s">
        <v>38</v>
      </c>
      <c r="G254" s="2" t="s">
        <v>39</v>
      </c>
      <c r="H254" s="2" t="s">
        <v>40</v>
      </c>
      <c r="I254" s="2" t="s">
        <v>40</v>
      </c>
      <c r="J254" s="2" t="s">
        <v>2061</v>
      </c>
      <c r="K254" s="2" t="s">
        <v>1020</v>
      </c>
      <c r="L254" s="2" t="s">
        <v>58</v>
      </c>
      <c r="M254" s="2" t="s">
        <v>44</v>
      </c>
      <c r="N254" s="2"/>
      <c r="O254" s="2" t="n">
        <v>8.0218981</v>
      </c>
      <c r="P254" s="2" t="n">
        <v>98.3348535</v>
      </c>
      <c r="Q254" s="2"/>
      <c r="R254" s="2" t="s">
        <v>2062</v>
      </c>
      <c r="S254" s="2"/>
      <c r="T254" s="2"/>
      <c r="U254" s="2" t="s">
        <v>2063</v>
      </c>
      <c r="V254" s="2"/>
      <c r="W254" s="2" t="s">
        <v>2064</v>
      </c>
      <c r="X254" s="2"/>
      <c r="Y254" s="2" t="s">
        <v>48</v>
      </c>
      <c r="Z254" s="3" t="s">
        <v>2065</v>
      </c>
      <c r="AA254" s="2" t="s">
        <v>40</v>
      </c>
      <c r="AB254" s="2" t="s">
        <v>50</v>
      </c>
      <c r="AC254" s="2" t="n">
        <v>0</v>
      </c>
      <c r="AD254" s="2" t="n">
        <v>670</v>
      </c>
      <c r="AE254" s="2" t="n">
        <v>1</v>
      </c>
      <c r="AF254" s="2"/>
      <c r="AG254" s="2" t="s">
        <v>2066</v>
      </c>
      <c r="AH254" s="2" t="s">
        <v>2067</v>
      </c>
      <c r="AI254" s="2" t="n">
        <v>0</v>
      </c>
    </row>
    <row r="255" customFormat="false" ht="15" hidden="false" customHeight="false" outlineLevel="0" collapsed="false">
      <c r="A255" s="2" t="n">
        <v>90871</v>
      </c>
      <c r="B255" s="2" t="s">
        <v>2068</v>
      </c>
      <c r="C255" s="2"/>
      <c r="D255" s="2" t="s">
        <v>1897</v>
      </c>
      <c r="E255" s="2" t="s">
        <v>117</v>
      </c>
      <c r="F255" s="2" t="s">
        <v>106</v>
      </c>
      <c r="G255" s="2" t="s">
        <v>39</v>
      </c>
      <c r="H255" s="2" t="s">
        <v>40</v>
      </c>
      <c r="I255" s="2" t="s">
        <v>40</v>
      </c>
      <c r="J255" s="2" t="s">
        <v>1231</v>
      </c>
      <c r="K255" s="2" t="s">
        <v>68</v>
      </c>
      <c r="L255" s="2" t="s">
        <v>43</v>
      </c>
      <c r="M255" s="2" t="s">
        <v>44</v>
      </c>
      <c r="N255" s="2"/>
      <c r="O255" s="2" t="n">
        <v>7.867827</v>
      </c>
      <c r="P255" s="2" t="n">
        <v>98.396334</v>
      </c>
      <c r="Q255" s="2"/>
      <c r="R255" s="2" t="s">
        <v>2069</v>
      </c>
      <c r="S255" s="2"/>
      <c r="T255" s="2"/>
      <c r="U255" s="2" t="s">
        <v>2070</v>
      </c>
      <c r="V255" s="2"/>
      <c r="W255" s="2" t="s">
        <v>936</v>
      </c>
      <c r="X255" s="2"/>
      <c r="Y255" s="2" t="s">
        <v>48</v>
      </c>
      <c r="Z255" s="3" t="s">
        <v>2071</v>
      </c>
      <c r="AA255" s="2" t="s">
        <v>40</v>
      </c>
      <c r="AB255" s="2" t="s">
        <v>50</v>
      </c>
      <c r="AC255" s="2" t="n">
        <v>0</v>
      </c>
      <c r="AD255" s="2" t="n">
        <v>836</v>
      </c>
      <c r="AE255" s="2" t="n">
        <v>0</v>
      </c>
      <c r="AF255" s="2"/>
      <c r="AG255" s="2" t="s">
        <v>2072</v>
      </c>
      <c r="AH255" s="2" t="s">
        <v>2073</v>
      </c>
      <c r="AI255" s="2" t="n">
        <v>0</v>
      </c>
    </row>
    <row r="256" customFormat="false" ht="15" hidden="false" customHeight="false" outlineLevel="0" collapsed="false">
      <c r="A256" s="2" t="n">
        <v>90815</v>
      </c>
      <c r="B256" s="2" t="s">
        <v>2074</v>
      </c>
      <c r="C256" s="2"/>
      <c r="D256" s="2" t="s">
        <v>1707</v>
      </c>
      <c r="E256" s="2" t="s">
        <v>117</v>
      </c>
      <c r="F256" s="2" t="s">
        <v>106</v>
      </c>
      <c r="G256" s="2" t="s">
        <v>39</v>
      </c>
      <c r="H256" s="2" t="s">
        <v>40</v>
      </c>
      <c r="I256" s="2" t="s">
        <v>40</v>
      </c>
      <c r="J256" s="2" t="s">
        <v>149</v>
      </c>
      <c r="K256" s="2" t="s">
        <v>42</v>
      </c>
      <c r="L256" s="2" t="s">
        <v>43</v>
      </c>
      <c r="M256" s="2" t="s">
        <v>44</v>
      </c>
      <c r="N256" s="2"/>
      <c r="O256" s="2" t="n">
        <v>7.88875</v>
      </c>
      <c r="P256" s="2" t="n">
        <v>98.385169</v>
      </c>
      <c r="Q256" s="2"/>
      <c r="R256" s="2" t="s">
        <v>2075</v>
      </c>
      <c r="S256" s="2"/>
      <c r="T256" s="2"/>
      <c r="U256" s="2" t="s">
        <v>2076</v>
      </c>
      <c r="V256" s="2"/>
      <c r="W256" s="2" t="s">
        <v>2077</v>
      </c>
      <c r="X256" s="2"/>
      <c r="Y256" s="2" t="s">
        <v>48</v>
      </c>
      <c r="Z256" s="3" t="s">
        <v>2078</v>
      </c>
      <c r="AA256" s="2" t="s">
        <v>40</v>
      </c>
      <c r="AB256" s="2" t="s">
        <v>50</v>
      </c>
      <c r="AC256" s="2" t="n">
        <v>0</v>
      </c>
      <c r="AD256" s="2" t="n">
        <v>691</v>
      </c>
      <c r="AE256" s="2" t="n">
        <v>0</v>
      </c>
      <c r="AF256" s="2"/>
      <c r="AG256" s="2" t="s">
        <v>2079</v>
      </c>
      <c r="AH256" s="2" t="s">
        <v>2080</v>
      </c>
      <c r="AI256" s="2" t="n">
        <v>0</v>
      </c>
    </row>
    <row r="257" customFormat="false" ht="15" hidden="false" customHeight="false" outlineLevel="0" collapsed="false">
      <c r="A257" s="2" t="n">
        <v>91474</v>
      </c>
      <c r="B257" s="2" t="s">
        <v>2081</v>
      </c>
      <c r="C257" s="2"/>
      <c r="D257" s="2" t="s">
        <v>236</v>
      </c>
      <c r="E257" s="2" t="s">
        <v>37</v>
      </c>
      <c r="F257" s="2" t="s">
        <v>38</v>
      </c>
      <c r="G257" s="2" t="s">
        <v>39</v>
      </c>
      <c r="H257" s="2" t="s">
        <v>40</v>
      </c>
      <c r="I257" s="2" t="s">
        <v>40</v>
      </c>
      <c r="J257" s="2" t="s">
        <v>1143</v>
      </c>
      <c r="K257" s="2" t="s">
        <v>68</v>
      </c>
      <c r="L257" s="2" t="s">
        <v>43</v>
      </c>
      <c r="M257" s="2" t="s">
        <v>44</v>
      </c>
      <c r="N257" s="2"/>
      <c r="O257" s="2" t="n">
        <v>7.871092</v>
      </c>
      <c r="P257" s="2" t="n">
        <v>98.391163</v>
      </c>
      <c r="Q257" s="2"/>
      <c r="R257" s="2" t="s">
        <v>2082</v>
      </c>
      <c r="S257" s="2"/>
      <c r="T257" s="2"/>
      <c r="U257" s="2" t="s">
        <v>2083</v>
      </c>
      <c r="V257" s="2"/>
      <c r="W257" s="2" t="s">
        <v>2084</v>
      </c>
      <c r="X257" s="2"/>
      <c r="Y257" s="2" t="s">
        <v>48</v>
      </c>
      <c r="Z257" s="3" t="s">
        <v>2085</v>
      </c>
      <c r="AA257" s="2" t="s">
        <v>40</v>
      </c>
      <c r="AB257" s="2" t="s">
        <v>50</v>
      </c>
      <c r="AC257" s="2" t="n">
        <v>0</v>
      </c>
      <c r="AD257" s="2" t="n">
        <v>645</v>
      </c>
      <c r="AE257" s="2" t="n">
        <v>0</v>
      </c>
      <c r="AF257" s="2"/>
      <c r="AG257" s="2" t="s">
        <v>2086</v>
      </c>
      <c r="AH257" s="2" t="s">
        <v>2087</v>
      </c>
      <c r="AI257" s="2" t="n">
        <v>0</v>
      </c>
    </row>
    <row r="258" customFormat="false" ht="15" hidden="false" customHeight="false" outlineLevel="0" collapsed="false">
      <c r="A258" s="2" t="n">
        <v>91279</v>
      </c>
      <c r="B258" s="2" t="s">
        <v>2088</v>
      </c>
      <c r="C258" s="2"/>
      <c r="D258" s="2" t="s">
        <v>236</v>
      </c>
      <c r="E258" s="2" t="s">
        <v>117</v>
      </c>
      <c r="F258" s="2" t="s">
        <v>106</v>
      </c>
      <c r="G258" s="2" t="s">
        <v>39</v>
      </c>
      <c r="H258" s="2" t="s">
        <v>40</v>
      </c>
      <c r="I258" s="2" t="s">
        <v>40</v>
      </c>
      <c r="J258" s="2" t="s">
        <v>2089</v>
      </c>
      <c r="K258" s="2" t="s">
        <v>78</v>
      </c>
      <c r="L258" s="2" t="s">
        <v>43</v>
      </c>
      <c r="M258" s="2" t="s">
        <v>44</v>
      </c>
      <c r="N258" s="2"/>
      <c r="O258" s="2" t="n">
        <v>7.923633</v>
      </c>
      <c r="P258" s="2" t="n">
        <v>98.379928</v>
      </c>
      <c r="Q258" s="2"/>
      <c r="R258" s="2" t="s">
        <v>2090</v>
      </c>
      <c r="S258" s="2"/>
      <c r="T258" s="2"/>
      <c r="U258" s="2" t="s">
        <v>2091</v>
      </c>
      <c r="V258" s="2"/>
      <c r="W258" s="2" t="s">
        <v>936</v>
      </c>
      <c r="X258" s="2"/>
      <c r="Y258" s="2" t="s">
        <v>48</v>
      </c>
      <c r="Z258" s="3" t="s">
        <v>2092</v>
      </c>
      <c r="AA258" s="2" t="s">
        <v>40</v>
      </c>
      <c r="AB258" s="2" t="s">
        <v>50</v>
      </c>
      <c r="AC258" s="2" t="n">
        <v>0</v>
      </c>
      <c r="AD258" s="2" t="n">
        <v>701</v>
      </c>
      <c r="AE258" s="2" t="n">
        <v>0</v>
      </c>
      <c r="AF258" s="2"/>
      <c r="AG258" s="2" t="s">
        <v>2093</v>
      </c>
      <c r="AH258" s="2" t="s">
        <v>2094</v>
      </c>
      <c r="AI258" s="2" t="n">
        <v>0</v>
      </c>
    </row>
    <row r="259" customFormat="false" ht="15" hidden="false" customHeight="false" outlineLevel="0" collapsed="false">
      <c r="A259" s="2" t="n">
        <v>91985</v>
      </c>
      <c r="B259" s="2" t="s">
        <v>2095</v>
      </c>
      <c r="C259" s="2"/>
      <c r="D259" s="2" t="s">
        <v>1707</v>
      </c>
      <c r="E259" s="2" t="s">
        <v>117</v>
      </c>
      <c r="F259" s="2" t="s">
        <v>38</v>
      </c>
      <c r="G259" s="2" t="s">
        <v>39</v>
      </c>
      <c r="H259" s="2" t="s">
        <v>40</v>
      </c>
      <c r="I259" s="2" t="s">
        <v>40</v>
      </c>
      <c r="J259" s="2" t="s">
        <v>490</v>
      </c>
      <c r="K259" s="2" t="s">
        <v>68</v>
      </c>
      <c r="L259" s="2" t="s">
        <v>43</v>
      </c>
      <c r="M259" s="2" t="s">
        <v>44</v>
      </c>
      <c r="N259" s="2"/>
      <c r="O259" s="2" t="n">
        <v>7.8830504</v>
      </c>
      <c r="P259" s="2" t="n">
        <v>98.3974466</v>
      </c>
      <c r="Q259" s="2"/>
      <c r="R259" s="2" t="s">
        <v>2096</v>
      </c>
      <c r="S259" s="2"/>
      <c r="T259" s="2"/>
      <c r="U259" s="2" t="s">
        <v>2097</v>
      </c>
      <c r="V259" s="2"/>
      <c r="W259" s="2" t="s">
        <v>443</v>
      </c>
      <c r="X259" s="2"/>
      <c r="Y259" s="2" t="s">
        <v>48</v>
      </c>
      <c r="Z259" s="3" t="s">
        <v>2098</v>
      </c>
      <c r="AA259" s="2" t="s">
        <v>40</v>
      </c>
      <c r="AB259" s="2" t="s">
        <v>50</v>
      </c>
      <c r="AC259" s="2" t="n">
        <v>0</v>
      </c>
      <c r="AD259" s="2" t="n">
        <v>732</v>
      </c>
      <c r="AE259" s="2" t="n">
        <v>0</v>
      </c>
      <c r="AF259" s="2"/>
      <c r="AG259" s="2" t="s">
        <v>2099</v>
      </c>
      <c r="AH259" s="2" t="s">
        <v>2100</v>
      </c>
      <c r="AI259" s="2" t="n">
        <v>0</v>
      </c>
    </row>
    <row r="260" customFormat="false" ht="15" hidden="false" customHeight="false" outlineLevel="0" collapsed="false">
      <c r="A260" s="2" t="n">
        <v>92101</v>
      </c>
      <c r="B260" s="2" t="s">
        <v>2101</v>
      </c>
      <c r="C260" s="2"/>
      <c r="D260" s="2" t="s">
        <v>2102</v>
      </c>
      <c r="E260" s="2" t="s">
        <v>117</v>
      </c>
      <c r="F260" s="2" t="s">
        <v>38</v>
      </c>
      <c r="G260" s="2" t="s">
        <v>39</v>
      </c>
      <c r="H260" s="2" t="s">
        <v>40</v>
      </c>
      <c r="I260" s="2" t="s">
        <v>40</v>
      </c>
      <c r="J260" s="2" t="s">
        <v>2103</v>
      </c>
      <c r="K260" s="2" t="s">
        <v>109</v>
      </c>
      <c r="L260" s="2" t="s">
        <v>109</v>
      </c>
      <c r="M260" s="2" t="s">
        <v>44</v>
      </c>
      <c r="N260" s="2"/>
      <c r="O260" s="2" t="n">
        <v>7.901954</v>
      </c>
      <c r="P260" s="2" t="n">
        <v>98.352472</v>
      </c>
      <c r="Q260" s="2"/>
      <c r="R260" s="2" t="s">
        <v>2104</v>
      </c>
      <c r="S260" s="2"/>
      <c r="T260" s="2"/>
      <c r="U260" s="2" t="s">
        <v>2105</v>
      </c>
      <c r="V260" s="2"/>
      <c r="W260" s="2" t="s">
        <v>2106</v>
      </c>
      <c r="X260" s="2"/>
      <c r="Y260" s="2" t="s">
        <v>48</v>
      </c>
      <c r="Z260" s="3" t="s">
        <v>2107</v>
      </c>
      <c r="AA260" s="2" t="s">
        <v>40</v>
      </c>
      <c r="AB260" s="2" t="s">
        <v>50</v>
      </c>
      <c r="AC260" s="2" t="n">
        <v>0</v>
      </c>
      <c r="AD260" s="2" t="n">
        <v>737</v>
      </c>
      <c r="AE260" s="2" t="n">
        <v>1</v>
      </c>
      <c r="AF260" s="2"/>
      <c r="AG260" s="2" t="s">
        <v>2108</v>
      </c>
      <c r="AH260" s="2" t="s">
        <v>2109</v>
      </c>
      <c r="AI260" s="2" t="n">
        <v>0</v>
      </c>
    </row>
    <row r="261" customFormat="false" ht="15" hidden="false" customHeight="false" outlineLevel="0" collapsed="false">
      <c r="A261" s="2" t="n">
        <v>91412</v>
      </c>
      <c r="B261" s="2" t="s">
        <v>2110</v>
      </c>
      <c r="C261" s="2"/>
      <c r="D261" s="2" t="s">
        <v>2111</v>
      </c>
      <c r="E261" s="2" t="s">
        <v>117</v>
      </c>
      <c r="F261" s="2" t="s">
        <v>38</v>
      </c>
      <c r="G261" s="2" t="s">
        <v>39</v>
      </c>
      <c r="H261" s="2" t="s">
        <v>40</v>
      </c>
      <c r="I261" s="2" t="s">
        <v>40</v>
      </c>
      <c r="J261" s="2" t="s">
        <v>238</v>
      </c>
      <c r="K261" s="2" t="s">
        <v>42</v>
      </c>
      <c r="L261" s="2" t="s">
        <v>43</v>
      </c>
      <c r="M261" s="2" t="s">
        <v>44</v>
      </c>
      <c r="N261" s="2"/>
      <c r="O261" s="2" t="n">
        <v>7.8852436</v>
      </c>
      <c r="P261" s="2" t="n">
        <v>98.3841459</v>
      </c>
      <c r="Q261" s="2"/>
      <c r="R261" s="2" t="s">
        <v>2112</v>
      </c>
      <c r="S261" s="2"/>
      <c r="T261" s="2"/>
      <c r="U261" s="2" t="s">
        <v>2113</v>
      </c>
      <c r="V261" s="2"/>
      <c r="W261" s="2" t="s">
        <v>2114</v>
      </c>
      <c r="X261" s="2"/>
      <c r="Y261" s="2" t="s">
        <v>48</v>
      </c>
      <c r="Z261" s="3" t="s">
        <v>2115</v>
      </c>
      <c r="AA261" s="2" t="s">
        <v>40</v>
      </c>
      <c r="AB261" s="2" t="s">
        <v>50</v>
      </c>
      <c r="AC261" s="2" t="n">
        <v>0</v>
      </c>
      <c r="AD261" s="2" t="n">
        <v>709</v>
      </c>
      <c r="AE261" s="2" t="n">
        <v>0</v>
      </c>
      <c r="AF261" s="2"/>
      <c r="AG261" s="2" t="s">
        <v>2116</v>
      </c>
      <c r="AH261" s="2" t="s">
        <v>2117</v>
      </c>
      <c r="AI261" s="2" t="n">
        <v>0</v>
      </c>
    </row>
    <row r="262" customFormat="false" ht="15" hidden="false" customHeight="false" outlineLevel="0" collapsed="false">
      <c r="A262" s="2" t="n">
        <v>91317</v>
      </c>
      <c r="B262" s="2" t="s">
        <v>2118</v>
      </c>
      <c r="C262" s="2"/>
      <c r="D262" s="2" t="s">
        <v>2119</v>
      </c>
      <c r="E262" s="2" t="s">
        <v>117</v>
      </c>
      <c r="F262" s="2" t="s">
        <v>106</v>
      </c>
      <c r="G262" s="2" t="s">
        <v>39</v>
      </c>
      <c r="H262" s="2" t="s">
        <v>40</v>
      </c>
      <c r="I262" s="2" t="s">
        <v>40</v>
      </c>
      <c r="J262" s="2" t="s">
        <v>2120</v>
      </c>
      <c r="K262" s="2" t="s">
        <v>78</v>
      </c>
      <c r="L262" s="2" t="s">
        <v>43</v>
      </c>
      <c r="M262" s="2" t="s">
        <v>44</v>
      </c>
      <c r="N262" s="2"/>
      <c r="O262" s="2" t="n">
        <v>7.9071613</v>
      </c>
      <c r="P262" s="2" t="n">
        <v>98.3755886</v>
      </c>
      <c r="Q262" s="2"/>
      <c r="R262" s="2" t="s">
        <v>2121</v>
      </c>
      <c r="S262" s="2"/>
      <c r="T262" s="2"/>
      <c r="U262" s="2" t="s">
        <v>2122</v>
      </c>
      <c r="V262" s="2"/>
      <c r="W262" s="2" t="s">
        <v>2123</v>
      </c>
      <c r="X262" s="2"/>
      <c r="Y262" s="2" t="s">
        <v>48</v>
      </c>
      <c r="Z262" s="3" t="s">
        <v>2124</v>
      </c>
      <c r="AA262" s="2" t="s">
        <v>40</v>
      </c>
      <c r="AB262" s="2" t="s">
        <v>50</v>
      </c>
      <c r="AC262" s="2" t="n">
        <v>0</v>
      </c>
      <c r="AD262" s="2" t="n">
        <v>784</v>
      </c>
      <c r="AE262" s="2" t="n">
        <v>0</v>
      </c>
      <c r="AF262" s="2"/>
      <c r="AG262" s="2" t="s">
        <v>2125</v>
      </c>
      <c r="AH262" s="2" t="s">
        <v>2126</v>
      </c>
      <c r="AI262" s="2" t="n">
        <v>0</v>
      </c>
    </row>
    <row r="263" customFormat="false" ht="15" hidden="false" customHeight="false" outlineLevel="0" collapsed="false">
      <c r="A263" s="2" t="n">
        <v>91302</v>
      </c>
      <c r="B263" s="2" t="s">
        <v>2127</v>
      </c>
      <c r="C263" s="2"/>
      <c r="D263" s="2" t="s">
        <v>2128</v>
      </c>
      <c r="E263" s="2" t="s">
        <v>55</v>
      </c>
      <c r="F263" s="2" t="s">
        <v>106</v>
      </c>
      <c r="G263" s="2" t="s">
        <v>39</v>
      </c>
      <c r="H263" s="2" t="s">
        <v>40</v>
      </c>
      <c r="I263" s="2" t="s">
        <v>40</v>
      </c>
      <c r="J263" s="2" t="s">
        <v>590</v>
      </c>
      <c r="K263" s="2" t="s">
        <v>109</v>
      </c>
      <c r="L263" s="2" t="s">
        <v>109</v>
      </c>
      <c r="M263" s="2" t="s">
        <v>44</v>
      </c>
      <c r="N263" s="2"/>
      <c r="O263" s="2" t="n">
        <v>7.9126793</v>
      </c>
      <c r="P263" s="2" t="n">
        <v>98.3369172</v>
      </c>
      <c r="Q263" s="2"/>
      <c r="R263" s="2" t="s">
        <v>2129</v>
      </c>
      <c r="S263" s="2"/>
      <c r="T263" s="2"/>
      <c r="U263" s="2" t="s">
        <v>2130</v>
      </c>
      <c r="V263" s="2"/>
      <c r="W263" s="2" t="s">
        <v>2131</v>
      </c>
      <c r="X263" s="2"/>
      <c r="Y263" s="2" t="s">
        <v>48</v>
      </c>
      <c r="Z263" s="3" t="s">
        <v>2132</v>
      </c>
      <c r="AA263" s="2" t="s">
        <v>40</v>
      </c>
      <c r="AB263" s="2" t="s">
        <v>50</v>
      </c>
      <c r="AC263" s="2" t="n">
        <v>0</v>
      </c>
      <c r="AD263" s="2" t="n">
        <v>565</v>
      </c>
      <c r="AE263" s="2" t="n">
        <v>1</v>
      </c>
      <c r="AF263" s="2"/>
      <c r="AG263" s="2" t="s">
        <v>2133</v>
      </c>
      <c r="AH263" s="2" t="s">
        <v>2134</v>
      </c>
      <c r="AI263" s="2" t="n">
        <v>0</v>
      </c>
    </row>
    <row r="264" customFormat="false" ht="15" hidden="false" customHeight="false" outlineLevel="0" collapsed="false">
      <c r="A264" s="2" t="n">
        <v>91285</v>
      </c>
      <c r="B264" s="2" t="s">
        <v>2135</v>
      </c>
      <c r="C264" s="2"/>
      <c r="D264" s="2" t="s">
        <v>2136</v>
      </c>
      <c r="E264" s="2" t="s">
        <v>37</v>
      </c>
      <c r="F264" s="2" t="s">
        <v>129</v>
      </c>
      <c r="G264" s="2" t="s">
        <v>39</v>
      </c>
      <c r="H264" s="2" t="s">
        <v>40</v>
      </c>
      <c r="I264" s="2" t="s">
        <v>40</v>
      </c>
      <c r="J264" s="2" t="s">
        <v>2137</v>
      </c>
      <c r="K264" s="2" t="s">
        <v>78</v>
      </c>
      <c r="L264" s="2" t="s">
        <v>43</v>
      </c>
      <c r="M264" s="2" t="s">
        <v>44</v>
      </c>
      <c r="N264" s="2"/>
      <c r="O264" s="2" t="n">
        <v>7.897903</v>
      </c>
      <c r="P264" s="2" t="n">
        <v>98.374215</v>
      </c>
      <c r="Q264" s="2" t="s">
        <v>2138</v>
      </c>
      <c r="R264" s="2"/>
      <c r="S264" s="2"/>
      <c r="T264" s="2"/>
      <c r="U264" s="2" t="s">
        <v>2139</v>
      </c>
      <c r="V264" s="2"/>
      <c r="W264" s="2" t="s">
        <v>2140</v>
      </c>
      <c r="X264" s="2"/>
      <c r="Y264" s="2" t="s">
        <v>48</v>
      </c>
      <c r="Z264" s="3" t="s">
        <v>2141</v>
      </c>
      <c r="AA264" s="2" t="s">
        <v>40</v>
      </c>
      <c r="AB264" s="2" t="s">
        <v>50</v>
      </c>
      <c r="AC264" s="2" t="n">
        <v>0</v>
      </c>
      <c r="AD264" s="2" t="n">
        <v>644</v>
      </c>
      <c r="AE264" s="2" t="n">
        <v>1</v>
      </c>
      <c r="AF264" s="2"/>
      <c r="AG264" s="2" t="s">
        <v>2142</v>
      </c>
      <c r="AH264" s="2" t="s">
        <v>2143</v>
      </c>
      <c r="AI264" s="2" t="n">
        <v>0</v>
      </c>
    </row>
    <row r="265" customFormat="false" ht="15" hidden="false" customHeight="false" outlineLevel="0" collapsed="false">
      <c r="A265" s="2" t="n">
        <v>91769</v>
      </c>
      <c r="B265" s="2" t="s">
        <v>2144</v>
      </c>
      <c r="C265" s="2"/>
      <c r="D265" s="2" t="s">
        <v>184</v>
      </c>
      <c r="E265" s="2" t="s">
        <v>37</v>
      </c>
      <c r="F265" s="2" t="s">
        <v>38</v>
      </c>
      <c r="G265" s="2" t="s">
        <v>39</v>
      </c>
      <c r="H265" s="2" t="s">
        <v>40</v>
      </c>
      <c r="I265" s="2" t="s">
        <v>40</v>
      </c>
      <c r="J265" s="2" t="s">
        <v>158</v>
      </c>
      <c r="K265" s="2" t="s">
        <v>78</v>
      </c>
      <c r="L265" s="2" t="s">
        <v>43</v>
      </c>
      <c r="M265" s="2" t="s">
        <v>44</v>
      </c>
      <c r="N265" s="2"/>
      <c r="O265" s="2" t="n">
        <v>7.8807505</v>
      </c>
      <c r="P265" s="2" t="n">
        <v>98.3710157</v>
      </c>
      <c r="Q265" s="2" t="s">
        <v>2145</v>
      </c>
      <c r="R265" s="2"/>
      <c r="S265" s="2"/>
      <c r="T265" s="2"/>
      <c r="U265" s="2" t="s">
        <v>2146</v>
      </c>
      <c r="V265" s="2"/>
      <c r="W265" s="2" t="s">
        <v>593</v>
      </c>
      <c r="X265" s="2"/>
      <c r="Y265" s="2" t="s">
        <v>48</v>
      </c>
      <c r="Z265" s="3" t="s">
        <v>2147</v>
      </c>
      <c r="AA265" s="2" t="s">
        <v>40</v>
      </c>
      <c r="AB265" s="2" t="s">
        <v>50</v>
      </c>
      <c r="AC265" s="2" t="n">
        <v>0</v>
      </c>
      <c r="AD265" s="2" t="n">
        <v>876</v>
      </c>
      <c r="AE265" s="2" t="n">
        <v>1</v>
      </c>
      <c r="AF265" s="2"/>
      <c r="AG265" s="2" t="s">
        <v>2148</v>
      </c>
      <c r="AH265" s="2" t="s">
        <v>2149</v>
      </c>
      <c r="AI265" s="2" t="n">
        <v>0</v>
      </c>
    </row>
    <row r="266" customFormat="false" ht="15" hidden="false" customHeight="false" outlineLevel="0" collapsed="false">
      <c r="A266" s="2" t="n">
        <v>91445</v>
      </c>
      <c r="B266" s="2" t="s">
        <v>2150</v>
      </c>
      <c r="C266" s="2"/>
      <c r="D266" s="2" t="s">
        <v>2151</v>
      </c>
      <c r="E266" s="2" t="s">
        <v>37</v>
      </c>
      <c r="F266" s="2" t="s">
        <v>38</v>
      </c>
      <c r="G266" s="2" t="s">
        <v>39</v>
      </c>
      <c r="H266" s="2" t="s">
        <v>40</v>
      </c>
      <c r="I266" s="2" t="s">
        <v>40</v>
      </c>
      <c r="J266" s="2" t="s">
        <v>2152</v>
      </c>
      <c r="K266" s="2" t="s">
        <v>1953</v>
      </c>
      <c r="L266" s="2" t="s">
        <v>58</v>
      </c>
      <c r="M266" s="2" t="s">
        <v>44</v>
      </c>
      <c r="N266" s="2"/>
      <c r="O266" s="2" t="n">
        <v>7.974929</v>
      </c>
      <c r="P266" s="2" t="n">
        <v>98.370503</v>
      </c>
      <c r="Q266" s="2"/>
      <c r="R266" s="2" t="s">
        <v>2153</v>
      </c>
      <c r="S266" s="2"/>
      <c r="T266" s="2"/>
      <c r="U266" s="2" t="s">
        <v>2154</v>
      </c>
      <c r="V266" s="2"/>
      <c r="W266" s="2" t="s">
        <v>2155</v>
      </c>
      <c r="X266" s="2"/>
      <c r="Y266" s="2" t="s">
        <v>48</v>
      </c>
      <c r="Z266" s="3" t="s">
        <v>2156</v>
      </c>
      <c r="AA266" s="2" t="s">
        <v>40</v>
      </c>
      <c r="AB266" s="2" t="s">
        <v>50</v>
      </c>
      <c r="AC266" s="2" t="n">
        <v>0</v>
      </c>
      <c r="AD266" s="2" t="n">
        <v>672</v>
      </c>
      <c r="AE266" s="2" t="n">
        <v>1</v>
      </c>
      <c r="AF266" s="2"/>
      <c r="AG266" s="2" t="s">
        <v>2157</v>
      </c>
      <c r="AH266" s="2" t="s">
        <v>2158</v>
      </c>
      <c r="AI266" s="2" t="n">
        <v>0</v>
      </c>
    </row>
    <row r="267" customFormat="false" ht="15" hidden="false" customHeight="false" outlineLevel="0" collapsed="false">
      <c r="A267" s="2" t="n">
        <v>91781</v>
      </c>
      <c r="B267" s="2" t="s">
        <v>2159</v>
      </c>
      <c r="C267" s="2"/>
      <c r="D267" s="2" t="s">
        <v>76</v>
      </c>
      <c r="E267" s="2" t="s">
        <v>117</v>
      </c>
      <c r="F267" s="2" t="s">
        <v>2160</v>
      </c>
      <c r="G267" s="2" t="s">
        <v>39</v>
      </c>
      <c r="H267" s="2" t="s">
        <v>40</v>
      </c>
      <c r="I267" s="2" t="s">
        <v>40</v>
      </c>
      <c r="J267" s="2" t="s">
        <v>2161</v>
      </c>
      <c r="K267" s="2" t="s">
        <v>1020</v>
      </c>
      <c r="L267" s="2" t="s">
        <v>58</v>
      </c>
      <c r="M267" s="2" t="s">
        <v>44</v>
      </c>
      <c r="N267" s="2"/>
      <c r="O267" s="2" t="n">
        <v>8.062389</v>
      </c>
      <c r="P267" s="2" t="n">
        <v>98.3496579</v>
      </c>
      <c r="Q267" s="2"/>
      <c r="R267" s="2" t="s">
        <v>2162</v>
      </c>
      <c r="S267" s="2"/>
      <c r="T267" s="2"/>
      <c r="U267" s="2" t="s">
        <v>2163</v>
      </c>
      <c r="V267" s="2"/>
      <c r="W267" s="2" t="s">
        <v>2164</v>
      </c>
      <c r="X267" s="2"/>
      <c r="Y267" s="2" t="s">
        <v>48</v>
      </c>
      <c r="Z267" s="3" t="s">
        <v>2165</v>
      </c>
      <c r="AA267" s="2" t="s">
        <v>40</v>
      </c>
      <c r="AB267" s="2" t="s">
        <v>50</v>
      </c>
      <c r="AC267" s="2" t="n">
        <v>0</v>
      </c>
      <c r="AD267" s="2" t="n">
        <v>749</v>
      </c>
      <c r="AE267" s="2" t="n">
        <v>0</v>
      </c>
      <c r="AF267" s="2"/>
      <c r="AG267" s="2" t="s">
        <v>2166</v>
      </c>
      <c r="AH267" s="2" t="s">
        <v>2167</v>
      </c>
      <c r="AI267" s="2" t="n">
        <v>0</v>
      </c>
    </row>
    <row r="268" customFormat="false" ht="15" hidden="false" customHeight="false" outlineLevel="0" collapsed="false">
      <c r="A268" s="2" t="n">
        <v>91426</v>
      </c>
      <c r="B268" s="2" t="s">
        <v>2168</v>
      </c>
      <c r="C268" s="2"/>
      <c r="D268" s="2" t="s">
        <v>2169</v>
      </c>
      <c r="E268" s="2" t="s">
        <v>37</v>
      </c>
      <c r="F268" s="2" t="s">
        <v>106</v>
      </c>
      <c r="G268" s="2" t="s">
        <v>39</v>
      </c>
      <c r="H268" s="2" t="s">
        <v>40</v>
      </c>
      <c r="I268" s="2" t="s">
        <v>40</v>
      </c>
      <c r="J268" s="2" t="s">
        <v>2170</v>
      </c>
      <c r="K268" s="2" t="s">
        <v>1953</v>
      </c>
      <c r="L268" s="2" t="s">
        <v>58</v>
      </c>
      <c r="M268" s="2" t="s">
        <v>44</v>
      </c>
      <c r="N268" s="2"/>
      <c r="O268" s="2" t="n">
        <v>8.0147982</v>
      </c>
      <c r="P268" s="2" t="n">
        <v>98.3382566</v>
      </c>
      <c r="Q268" s="2" t="s">
        <v>2171</v>
      </c>
      <c r="R268" s="2"/>
      <c r="S268" s="2"/>
      <c r="T268" s="2"/>
      <c r="U268" s="2" t="s">
        <v>2172</v>
      </c>
      <c r="V268" s="2"/>
      <c r="W268" s="2" t="s">
        <v>1155</v>
      </c>
      <c r="X268" s="2"/>
      <c r="Y268" s="2" t="s">
        <v>48</v>
      </c>
      <c r="Z268" s="3" t="s">
        <v>2173</v>
      </c>
      <c r="AA268" s="2" t="s">
        <v>40</v>
      </c>
      <c r="AB268" s="2" t="s">
        <v>50</v>
      </c>
      <c r="AC268" s="2" t="n">
        <v>0</v>
      </c>
      <c r="AD268" s="2" t="n">
        <v>738</v>
      </c>
      <c r="AE268" s="2" t="n">
        <v>1</v>
      </c>
      <c r="AF268" s="2"/>
      <c r="AG268" s="2" t="s">
        <v>2174</v>
      </c>
      <c r="AH268" s="2" t="s">
        <v>2175</v>
      </c>
      <c r="AI268" s="2" t="n">
        <v>0</v>
      </c>
    </row>
    <row r="269" customFormat="false" ht="15" hidden="false" customHeight="false" outlineLevel="0" collapsed="false">
      <c r="A269" s="2" t="n">
        <v>92111</v>
      </c>
      <c r="B269" s="2" t="s">
        <v>2176</v>
      </c>
      <c r="C269" s="2"/>
      <c r="D269" s="2" t="s">
        <v>589</v>
      </c>
      <c r="E269" s="2" t="s">
        <v>117</v>
      </c>
      <c r="F269" s="2" t="s">
        <v>38</v>
      </c>
      <c r="G269" s="2" t="s">
        <v>39</v>
      </c>
      <c r="H269" s="2" t="s">
        <v>40</v>
      </c>
      <c r="I269" s="2" t="s">
        <v>40</v>
      </c>
      <c r="J269" s="2" t="s">
        <v>2177</v>
      </c>
      <c r="K269" s="2" t="s">
        <v>68</v>
      </c>
      <c r="L269" s="2" t="s">
        <v>43</v>
      </c>
      <c r="M269" s="2" t="s">
        <v>44</v>
      </c>
      <c r="N269" s="2"/>
      <c r="O269" s="2" t="n">
        <v>7.9033659</v>
      </c>
      <c r="P269" s="2" t="n">
        <v>98.3770949</v>
      </c>
      <c r="Q269" s="2"/>
      <c r="R269" s="2" t="s">
        <v>2178</v>
      </c>
      <c r="S269" s="2"/>
      <c r="T269" s="2"/>
      <c r="U269" s="2" t="s">
        <v>2179</v>
      </c>
      <c r="V269" s="2"/>
      <c r="W269" s="2" t="s">
        <v>1308</v>
      </c>
      <c r="X269" s="2"/>
      <c r="Y269" s="2" t="s">
        <v>48</v>
      </c>
      <c r="Z269" s="3" t="s">
        <v>2180</v>
      </c>
      <c r="AA269" s="2" t="s">
        <v>40</v>
      </c>
      <c r="AB269" s="2" t="s">
        <v>50</v>
      </c>
      <c r="AC269" s="2" t="n">
        <v>0</v>
      </c>
      <c r="AD269" s="2" t="n">
        <v>685</v>
      </c>
      <c r="AE269" s="2" t="n">
        <v>1</v>
      </c>
      <c r="AF269" s="2"/>
      <c r="AG269" s="2" t="s">
        <v>2181</v>
      </c>
      <c r="AH269" s="2" t="s">
        <v>2182</v>
      </c>
      <c r="AI269" s="2" t="n">
        <v>0</v>
      </c>
    </row>
    <row r="270" customFormat="false" ht="15" hidden="false" customHeight="false" outlineLevel="0" collapsed="false">
      <c r="A270" s="2" t="n">
        <v>90903</v>
      </c>
      <c r="B270" s="2" t="s">
        <v>2183</v>
      </c>
      <c r="C270" s="2"/>
      <c r="D270" s="2" t="s">
        <v>2184</v>
      </c>
      <c r="E270" s="2" t="s">
        <v>117</v>
      </c>
      <c r="F270" s="2" t="s">
        <v>38</v>
      </c>
      <c r="G270" s="2" t="s">
        <v>39</v>
      </c>
      <c r="H270" s="2" t="s">
        <v>40</v>
      </c>
      <c r="I270" s="2" t="s">
        <v>40</v>
      </c>
      <c r="J270" s="2" t="s">
        <v>2120</v>
      </c>
      <c r="K270" s="2" t="s">
        <v>78</v>
      </c>
      <c r="L270" s="2" t="s">
        <v>43</v>
      </c>
      <c r="M270" s="2" t="s">
        <v>44</v>
      </c>
      <c r="N270" s="2"/>
      <c r="O270" s="2" t="n">
        <v>7.9077731</v>
      </c>
      <c r="P270" s="2" t="n">
        <v>98.3761213</v>
      </c>
      <c r="Q270" s="2"/>
      <c r="R270" s="2" t="s">
        <v>2185</v>
      </c>
      <c r="S270" s="2"/>
      <c r="T270" s="2"/>
      <c r="U270" s="2" t="s">
        <v>2186</v>
      </c>
      <c r="V270" s="2"/>
      <c r="W270" s="2" t="s">
        <v>2187</v>
      </c>
      <c r="X270" s="2"/>
      <c r="Y270" s="2" t="s">
        <v>48</v>
      </c>
      <c r="Z270" s="3" t="s">
        <v>2188</v>
      </c>
      <c r="AA270" s="2" t="s">
        <v>40</v>
      </c>
      <c r="AB270" s="2" t="s">
        <v>50</v>
      </c>
      <c r="AC270" s="2" t="n">
        <v>0</v>
      </c>
      <c r="AD270" s="2" t="n">
        <v>709</v>
      </c>
      <c r="AE270" s="2" t="n">
        <v>0</v>
      </c>
      <c r="AF270" s="2"/>
      <c r="AG270" s="2" t="s">
        <v>2189</v>
      </c>
      <c r="AH270" s="2" t="s">
        <v>2190</v>
      </c>
      <c r="AI270" s="2" t="n">
        <v>0</v>
      </c>
    </row>
    <row r="271" customFormat="false" ht="15" hidden="false" customHeight="false" outlineLevel="0" collapsed="false">
      <c r="A271" s="2" t="n">
        <v>90892</v>
      </c>
      <c r="B271" s="2" t="s">
        <v>2191</v>
      </c>
      <c r="C271" s="2"/>
      <c r="D271" s="2" t="s">
        <v>2192</v>
      </c>
      <c r="E271" s="2" t="s">
        <v>37</v>
      </c>
      <c r="F271" s="2" t="s">
        <v>129</v>
      </c>
      <c r="G271" s="2" t="s">
        <v>39</v>
      </c>
      <c r="H271" s="2" t="s">
        <v>40</v>
      </c>
      <c r="I271" s="2" t="s">
        <v>40</v>
      </c>
      <c r="J271" s="2" t="s">
        <v>2193</v>
      </c>
      <c r="K271" s="2" t="s">
        <v>42</v>
      </c>
      <c r="L271" s="2" t="s">
        <v>43</v>
      </c>
      <c r="M271" s="2" t="s">
        <v>44</v>
      </c>
      <c r="N271" s="2"/>
      <c r="O271" s="2" t="n">
        <v>7.880566</v>
      </c>
      <c r="P271" s="2" t="n">
        <v>98.379998</v>
      </c>
      <c r="Q271" s="2"/>
      <c r="R271" s="2" t="s">
        <v>2194</v>
      </c>
      <c r="S271" s="2"/>
      <c r="T271" s="2"/>
      <c r="U271" s="2" t="s">
        <v>2195</v>
      </c>
      <c r="V271" s="2"/>
      <c r="W271" s="2" t="s">
        <v>2196</v>
      </c>
      <c r="X271" s="2"/>
      <c r="Y271" s="2" t="s">
        <v>48</v>
      </c>
      <c r="Z271" s="3" t="s">
        <v>2197</v>
      </c>
      <c r="AA271" s="2" t="s">
        <v>40</v>
      </c>
      <c r="AB271" s="2" t="s">
        <v>50</v>
      </c>
      <c r="AC271" s="2" t="n">
        <v>0</v>
      </c>
      <c r="AD271" s="2" t="n">
        <v>892</v>
      </c>
      <c r="AE271" s="2" t="n">
        <v>1</v>
      </c>
      <c r="AF271" s="2"/>
      <c r="AG271" s="2" t="s">
        <v>2198</v>
      </c>
      <c r="AH271" s="2" t="s">
        <v>2199</v>
      </c>
      <c r="AI271" s="2" t="n">
        <v>0</v>
      </c>
    </row>
    <row r="272" customFormat="false" ht="15" hidden="false" customHeight="false" outlineLevel="0" collapsed="false">
      <c r="A272" s="2" t="n">
        <v>91156</v>
      </c>
      <c r="B272" s="2" t="s">
        <v>2200</v>
      </c>
      <c r="C272" s="2"/>
      <c r="D272" s="2" t="s">
        <v>2201</v>
      </c>
      <c r="E272" s="2" t="s">
        <v>55</v>
      </c>
      <c r="F272" s="2" t="s">
        <v>106</v>
      </c>
      <c r="G272" s="2" t="s">
        <v>39</v>
      </c>
      <c r="H272" s="2" t="s">
        <v>40</v>
      </c>
      <c r="I272" s="2" t="s">
        <v>40</v>
      </c>
      <c r="J272" s="2" t="s">
        <v>1562</v>
      </c>
      <c r="K272" s="2" t="s">
        <v>57</v>
      </c>
      <c r="L272" s="2" t="s">
        <v>58</v>
      </c>
      <c r="M272" s="2" t="s">
        <v>44</v>
      </c>
      <c r="N272" s="2"/>
      <c r="O272" s="2" t="n">
        <v>8.0097748</v>
      </c>
      <c r="P272" s="2" t="n">
        <v>98.315372</v>
      </c>
      <c r="Q272" s="2"/>
      <c r="R272" s="2" t="s">
        <v>2202</v>
      </c>
      <c r="S272" s="2"/>
      <c r="T272" s="2"/>
      <c r="U272" s="2" t="s">
        <v>2203</v>
      </c>
      <c r="V272" s="2"/>
      <c r="W272" s="2" t="s">
        <v>2204</v>
      </c>
      <c r="X272" s="2"/>
      <c r="Y272" s="2" t="s">
        <v>48</v>
      </c>
      <c r="Z272" s="3" t="s">
        <v>2205</v>
      </c>
      <c r="AA272" s="2" t="s">
        <v>40</v>
      </c>
      <c r="AB272" s="2" t="s">
        <v>50</v>
      </c>
      <c r="AC272" s="2" t="n">
        <v>0</v>
      </c>
      <c r="AD272" s="2" t="n">
        <v>1219</v>
      </c>
      <c r="AE272" s="2" t="n">
        <v>1</v>
      </c>
      <c r="AF272" s="2"/>
      <c r="AG272" s="2" t="s">
        <v>2206</v>
      </c>
      <c r="AH272" s="2" t="s">
        <v>2207</v>
      </c>
      <c r="AI272" s="2" t="n">
        <v>0</v>
      </c>
    </row>
    <row r="273" customFormat="false" ht="15" hidden="false" customHeight="false" outlineLevel="0" collapsed="false">
      <c r="A273" s="2" t="n">
        <v>91933</v>
      </c>
      <c r="B273" s="2" t="s">
        <v>2208</v>
      </c>
      <c r="C273" s="2"/>
      <c r="D273" s="2" t="s">
        <v>2209</v>
      </c>
      <c r="E273" s="2" t="s">
        <v>37</v>
      </c>
      <c r="F273" s="2" t="s">
        <v>38</v>
      </c>
      <c r="G273" s="2" t="s">
        <v>39</v>
      </c>
      <c r="H273" s="2" t="s">
        <v>40</v>
      </c>
      <c r="I273" s="2" t="s">
        <v>40</v>
      </c>
      <c r="J273" s="2" t="s">
        <v>2210</v>
      </c>
      <c r="K273" s="2" t="s">
        <v>109</v>
      </c>
      <c r="L273" s="2" t="s">
        <v>109</v>
      </c>
      <c r="M273" s="2" t="s">
        <v>44</v>
      </c>
      <c r="N273" s="2"/>
      <c r="O273" s="2" t="n">
        <v>7.9071863</v>
      </c>
      <c r="P273" s="2" t="n">
        <v>98.349196</v>
      </c>
      <c r="Q273" s="2"/>
      <c r="R273" s="2" t="s">
        <v>2211</v>
      </c>
      <c r="S273" s="2"/>
      <c r="T273" s="2"/>
      <c r="U273" s="2" t="s">
        <v>2212</v>
      </c>
      <c r="V273" s="2"/>
      <c r="W273" s="2" t="s">
        <v>1665</v>
      </c>
      <c r="X273" s="2"/>
      <c r="Y273" s="2" t="s">
        <v>48</v>
      </c>
      <c r="Z273" s="3" t="s">
        <v>2213</v>
      </c>
      <c r="AA273" s="2" t="s">
        <v>40</v>
      </c>
      <c r="AB273" s="2" t="s">
        <v>50</v>
      </c>
      <c r="AC273" s="2" t="n">
        <v>0</v>
      </c>
      <c r="AD273" s="2" t="n">
        <v>979</v>
      </c>
      <c r="AE273" s="2" t="n">
        <v>0</v>
      </c>
      <c r="AF273" s="2"/>
      <c r="AG273" s="2" t="s">
        <v>2214</v>
      </c>
      <c r="AH273" s="2" t="s">
        <v>2215</v>
      </c>
      <c r="AI273" s="2" t="n">
        <v>0</v>
      </c>
    </row>
    <row r="274" customFormat="false" ht="15" hidden="false" customHeight="false" outlineLevel="0" collapsed="false">
      <c r="A274" s="2" t="n">
        <v>91133</v>
      </c>
      <c r="B274" s="2" t="s">
        <v>2216</v>
      </c>
      <c r="C274" s="2"/>
      <c r="D274" s="2" t="s">
        <v>236</v>
      </c>
      <c r="E274" s="2" t="s">
        <v>37</v>
      </c>
      <c r="F274" s="2" t="s">
        <v>38</v>
      </c>
      <c r="G274" s="2" t="s">
        <v>39</v>
      </c>
      <c r="H274" s="2" t="s">
        <v>40</v>
      </c>
      <c r="I274" s="2" t="s">
        <v>40</v>
      </c>
      <c r="J274" s="2" t="s">
        <v>2217</v>
      </c>
      <c r="K274" s="2" t="s">
        <v>109</v>
      </c>
      <c r="L274" s="2" t="s">
        <v>109</v>
      </c>
      <c r="M274" s="2" t="s">
        <v>44</v>
      </c>
      <c r="N274" s="2"/>
      <c r="O274" s="2" t="n">
        <v>7.931739</v>
      </c>
      <c r="P274" s="2" t="n">
        <v>98.323538</v>
      </c>
      <c r="Q274" s="2"/>
      <c r="R274" s="2" t="s">
        <v>2218</v>
      </c>
      <c r="S274" s="2"/>
      <c r="T274" s="2"/>
      <c r="U274" s="2" t="s">
        <v>2219</v>
      </c>
      <c r="V274" s="2"/>
      <c r="W274" s="2" t="s">
        <v>452</v>
      </c>
      <c r="X274" s="2"/>
      <c r="Y274" s="2" t="s">
        <v>48</v>
      </c>
      <c r="Z274" s="3" t="s">
        <v>2220</v>
      </c>
      <c r="AA274" s="2" t="s">
        <v>40</v>
      </c>
      <c r="AB274" s="2" t="s">
        <v>50</v>
      </c>
      <c r="AC274" s="2" t="n">
        <v>0</v>
      </c>
      <c r="AD274" s="2" t="n">
        <v>908</v>
      </c>
      <c r="AE274" s="2" t="n">
        <v>0</v>
      </c>
      <c r="AF274" s="2"/>
      <c r="AG274" s="2" t="s">
        <v>2221</v>
      </c>
      <c r="AH274" s="2" t="s">
        <v>2222</v>
      </c>
      <c r="AI274" s="2" t="n">
        <v>0</v>
      </c>
    </row>
    <row r="275" customFormat="false" ht="15" hidden="false" customHeight="false" outlineLevel="0" collapsed="false">
      <c r="A275" s="2" t="n">
        <v>90844</v>
      </c>
      <c r="B275" s="2" t="s">
        <v>2223</v>
      </c>
      <c r="C275" s="2"/>
      <c r="D275" s="2" t="s">
        <v>2016</v>
      </c>
      <c r="E275" s="2" t="s">
        <v>117</v>
      </c>
      <c r="F275" s="2" t="s">
        <v>38</v>
      </c>
      <c r="G275" s="2" t="s">
        <v>39</v>
      </c>
      <c r="H275" s="2" t="s">
        <v>40</v>
      </c>
      <c r="I275" s="2" t="s">
        <v>40</v>
      </c>
      <c r="J275" s="2" t="s">
        <v>2224</v>
      </c>
      <c r="K275" s="2" t="s">
        <v>78</v>
      </c>
      <c r="L275" s="2" t="s">
        <v>43</v>
      </c>
      <c r="M275" s="2" t="s">
        <v>44</v>
      </c>
      <c r="N275" s="2"/>
      <c r="O275" s="2" t="n">
        <v>7.883681</v>
      </c>
      <c r="P275" s="2" t="n">
        <v>98.389439</v>
      </c>
      <c r="Q275" s="2" t="s">
        <v>2225</v>
      </c>
      <c r="R275" s="2"/>
      <c r="S275" s="2"/>
      <c r="T275" s="2"/>
      <c r="U275" s="2" t="s">
        <v>2226</v>
      </c>
      <c r="V275" s="2"/>
      <c r="W275" s="2" t="s">
        <v>2227</v>
      </c>
      <c r="X275" s="2"/>
      <c r="Y275" s="2" t="s">
        <v>48</v>
      </c>
      <c r="Z275" s="3" t="s">
        <v>2228</v>
      </c>
      <c r="AA275" s="2" t="s">
        <v>40</v>
      </c>
      <c r="AB275" s="2" t="s">
        <v>50</v>
      </c>
      <c r="AC275" s="2" t="n">
        <v>0</v>
      </c>
      <c r="AD275" s="2" t="n">
        <v>745</v>
      </c>
      <c r="AE275" s="2" t="n">
        <v>0</v>
      </c>
      <c r="AF275" s="2"/>
      <c r="AG275" s="2" t="s">
        <v>2229</v>
      </c>
      <c r="AH275" s="2" t="s">
        <v>2230</v>
      </c>
      <c r="AI275" s="2" t="n">
        <v>0</v>
      </c>
    </row>
    <row r="276" customFormat="false" ht="15" hidden="false" customHeight="false" outlineLevel="0" collapsed="false">
      <c r="A276" s="2" t="n">
        <v>91450</v>
      </c>
      <c r="B276" s="2" t="s">
        <v>2231</v>
      </c>
      <c r="C276" s="2"/>
      <c r="D276" s="2" t="s">
        <v>236</v>
      </c>
      <c r="E276" s="2" t="s">
        <v>55</v>
      </c>
      <c r="F276" s="2" t="s">
        <v>38</v>
      </c>
      <c r="G276" s="2" t="s">
        <v>39</v>
      </c>
      <c r="H276" s="2" t="s">
        <v>40</v>
      </c>
      <c r="I276" s="2" t="s">
        <v>40</v>
      </c>
      <c r="J276" s="2" t="s">
        <v>2232</v>
      </c>
      <c r="K276" s="2" t="s">
        <v>68</v>
      </c>
      <c r="L276" s="2" t="s">
        <v>43</v>
      </c>
      <c r="M276" s="2" t="s">
        <v>44</v>
      </c>
      <c r="N276" s="2"/>
      <c r="O276" s="2" t="n">
        <v>7.8842579</v>
      </c>
      <c r="P276" s="2" t="n">
        <v>98.3906646</v>
      </c>
      <c r="Q276" s="2"/>
      <c r="R276" s="2" t="s">
        <v>2233</v>
      </c>
      <c r="S276" s="2"/>
      <c r="T276" s="2"/>
      <c r="U276" s="2" t="s">
        <v>2234</v>
      </c>
      <c r="V276" s="2"/>
      <c r="W276" s="2" t="s">
        <v>2235</v>
      </c>
      <c r="X276" s="2"/>
      <c r="Y276" s="2" t="s">
        <v>48</v>
      </c>
      <c r="Z276" s="3" t="s">
        <v>2236</v>
      </c>
      <c r="AA276" s="2" t="s">
        <v>40</v>
      </c>
      <c r="AB276" s="2" t="s">
        <v>50</v>
      </c>
      <c r="AC276" s="2" t="n">
        <v>0</v>
      </c>
      <c r="AD276" s="2" t="n">
        <v>540</v>
      </c>
      <c r="AE276" s="2" t="n">
        <v>0</v>
      </c>
      <c r="AF276" s="2"/>
      <c r="AG276" s="2" t="s">
        <v>2237</v>
      </c>
      <c r="AH276" s="2" t="s">
        <v>2238</v>
      </c>
      <c r="AI276" s="2" t="n">
        <v>0</v>
      </c>
    </row>
    <row r="277" customFormat="false" ht="15" hidden="false" customHeight="false" outlineLevel="0" collapsed="false">
      <c r="A277" s="2" t="n">
        <v>90889</v>
      </c>
      <c r="B277" s="2" t="s">
        <v>2239</v>
      </c>
      <c r="C277" s="2"/>
      <c r="D277" s="2" t="s">
        <v>654</v>
      </c>
      <c r="E277" s="2" t="s">
        <v>37</v>
      </c>
      <c r="F277" s="2" t="s">
        <v>106</v>
      </c>
      <c r="G277" s="2" t="s">
        <v>39</v>
      </c>
      <c r="H277" s="2" t="s">
        <v>40</v>
      </c>
      <c r="I277" s="2" t="s">
        <v>40</v>
      </c>
      <c r="J277" s="2" t="s">
        <v>2240</v>
      </c>
      <c r="K277" s="2" t="s">
        <v>88</v>
      </c>
      <c r="L277" s="2" t="s">
        <v>43</v>
      </c>
      <c r="M277" s="2" t="s">
        <v>44</v>
      </c>
      <c r="N277" s="2"/>
      <c r="O277" s="2" t="n">
        <v>7.775662</v>
      </c>
      <c r="P277" s="2" t="n">
        <v>98.32879</v>
      </c>
      <c r="Q277" s="2" t="s">
        <v>2241</v>
      </c>
      <c r="R277" s="2"/>
      <c r="S277" s="2"/>
      <c r="T277" s="2"/>
      <c r="U277" s="2" t="s">
        <v>2242</v>
      </c>
      <c r="V277" s="2"/>
      <c r="W277" s="2" t="s">
        <v>152</v>
      </c>
      <c r="X277" s="2"/>
      <c r="Y277" s="2" t="s">
        <v>48</v>
      </c>
      <c r="Z277" s="3" t="s">
        <v>2243</v>
      </c>
      <c r="AA277" s="2" t="s">
        <v>40</v>
      </c>
      <c r="AB277" s="2" t="s">
        <v>50</v>
      </c>
      <c r="AC277" s="2" t="n">
        <v>0</v>
      </c>
      <c r="AD277" s="2" t="n">
        <v>669</v>
      </c>
      <c r="AE277" s="2" t="n">
        <v>0</v>
      </c>
      <c r="AF277" s="2"/>
      <c r="AG277" s="2" t="s">
        <v>2244</v>
      </c>
      <c r="AH277" s="2" t="s">
        <v>2245</v>
      </c>
      <c r="AI277" s="2" t="n">
        <v>0</v>
      </c>
    </row>
    <row r="278" customFormat="false" ht="15" hidden="false" customHeight="false" outlineLevel="0" collapsed="false">
      <c r="A278" s="2" t="n">
        <v>90934</v>
      </c>
      <c r="B278" s="2" t="s">
        <v>2246</v>
      </c>
      <c r="C278" s="2"/>
      <c r="D278" s="2" t="s">
        <v>1937</v>
      </c>
      <c r="E278" s="2" t="s">
        <v>117</v>
      </c>
      <c r="F278" s="2" t="s">
        <v>106</v>
      </c>
      <c r="G278" s="2" t="s">
        <v>39</v>
      </c>
      <c r="H278" s="2" t="s">
        <v>40</v>
      </c>
      <c r="I278" s="2" t="s">
        <v>40</v>
      </c>
      <c r="J278" s="2" t="s">
        <v>1231</v>
      </c>
      <c r="K278" s="2" t="s">
        <v>68</v>
      </c>
      <c r="L278" s="2" t="s">
        <v>43</v>
      </c>
      <c r="M278" s="2" t="s">
        <v>44</v>
      </c>
      <c r="N278" s="2"/>
      <c r="O278" s="2" t="n">
        <v>7.877849</v>
      </c>
      <c r="P278" s="2" t="n">
        <v>98.393251</v>
      </c>
      <c r="Q278" s="2" t="s">
        <v>2247</v>
      </c>
      <c r="R278" s="2"/>
      <c r="S278" s="2"/>
      <c r="T278" s="2"/>
      <c r="U278" s="2" t="s">
        <v>2248</v>
      </c>
      <c r="V278" s="2"/>
      <c r="W278" s="2" t="s">
        <v>2249</v>
      </c>
      <c r="X278" s="2"/>
      <c r="Y278" s="2" t="s">
        <v>48</v>
      </c>
      <c r="Z278" s="3" t="s">
        <v>2250</v>
      </c>
      <c r="AA278" s="2" t="s">
        <v>40</v>
      </c>
      <c r="AB278" s="2" t="s">
        <v>50</v>
      </c>
      <c r="AC278" s="2" t="n">
        <v>0</v>
      </c>
      <c r="AD278" s="2" t="n">
        <v>617</v>
      </c>
      <c r="AE278" s="2" t="n">
        <v>0</v>
      </c>
      <c r="AF278" s="2"/>
      <c r="AG278" s="2" t="s">
        <v>2251</v>
      </c>
      <c r="AH278" s="2" t="s">
        <v>2252</v>
      </c>
      <c r="AI278" s="2" t="n">
        <v>0</v>
      </c>
    </row>
    <row r="279" customFormat="false" ht="15" hidden="false" customHeight="false" outlineLevel="0" collapsed="false">
      <c r="A279" s="2" t="n">
        <v>90870</v>
      </c>
      <c r="B279" s="2" t="s">
        <v>2253</v>
      </c>
      <c r="C279" s="2"/>
      <c r="D279" s="2" t="s">
        <v>726</v>
      </c>
      <c r="E279" s="2" t="s">
        <v>37</v>
      </c>
      <c r="F279" s="2" t="s">
        <v>106</v>
      </c>
      <c r="G279" s="2" t="s">
        <v>39</v>
      </c>
      <c r="H279" s="2" t="s">
        <v>40</v>
      </c>
      <c r="I279" s="2" t="s">
        <v>40</v>
      </c>
      <c r="J279" s="2" t="s">
        <v>2254</v>
      </c>
      <c r="K279" s="2" t="s">
        <v>120</v>
      </c>
      <c r="L279" s="2" t="s">
        <v>58</v>
      </c>
      <c r="M279" s="2" t="s">
        <v>44</v>
      </c>
      <c r="N279" s="2"/>
      <c r="O279" s="2" t="n">
        <v>8.1575643</v>
      </c>
      <c r="P279" s="2" t="n">
        <v>98.3165372</v>
      </c>
      <c r="Q279" s="2"/>
      <c r="R279" s="2" t="s">
        <v>2255</v>
      </c>
      <c r="S279" s="2"/>
      <c r="T279" s="2"/>
      <c r="U279" s="2" t="s">
        <v>2256</v>
      </c>
      <c r="V279" s="2"/>
      <c r="W279" s="2" t="s">
        <v>452</v>
      </c>
      <c r="X279" s="2"/>
      <c r="Y279" s="2" t="s">
        <v>48</v>
      </c>
      <c r="Z279" s="3" t="s">
        <v>2257</v>
      </c>
      <c r="AA279" s="2" t="s">
        <v>40</v>
      </c>
      <c r="AB279" s="2" t="s">
        <v>50</v>
      </c>
      <c r="AC279" s="2" t="n">
        <v>0</v>
      </c>
      <c r="AD279" s="2" t="n">
        <v>702</v>
      </c>
      <c r="AE279" s="2" t="n">
        <v>1</v>
      </c>
      <c r="AF279" s="2"/>
      <c r="AG279" s="2" t="s">
        <v>2258</v>
      </c>
      <c r="AH279" s="2" t="s">
        <v>2259</v>
      </c>
      <c r="AI279" s="2" t="n">
        <v>0</v>
      </c>
    </row>
    <row r="280" customFormat="false" ht="15" hidden="false" customHeight="false" outlineLevel="0" collapsed="false">
      <c r="A280" s="2" t="n">
        <v>91488</v>
      </c>
      <c r="B280" s="2" t="s">
        <v>2260</v>
      </c>
      <c r="C280" s="2"/>
      <c r="D280" s="2" t="s">
        <v>76</v>
      </c>
      <c r="E280" s="2" t="s">
        <v>37</v>
      </c>
      <c r="F280" s="2" t="s">
        <v>38</v>
      </c>
      <c r="G280" s="2" t="s">
        <v>39</v>
      </c>
      <c r="H280" s="2" t="s">
        <v>40</v>
      </c>
      <c r="I280" s="2" t="s">
        <v>40</v>
      </c>
      <c r="J280" s="2" t="s">
        <v>2261</v>
      </c>
      <c r="K280" s="2" t="s">
        <v>78</v>
      </c>
      <c r="L280" s="2" t="s">
        <v>43</v>
      </c>
      <c r="M280" s="2" t="s">
        <v>44</v>
      </c>
      <c r="N280" s="2"/>
      <c r="O280" s="2" t="n">
        <v>7.910213</v>
      </c>
      <c r="P280" s="2" t="n">
        <v>98.3713824</v>
      </c>
      <c r="Q280" s="2"/>
      <c r="R280" s="2" t="s">
        <v>2262</v>
      </c>
      <c r="S280" s="2"/>
      <c r="T280" s="2"/>
      <c r="U280" s="2" t="s">
        <v>2263</v>
      </c>
      <c r="V280" s="2"/>
      <c r="W280" s="2" t="s">
        <v>152</v>
      </c>
      <c r="X280" s="2"/>
      <c r="Y280" s="2" t="s">
        <v>48</v>
      </c>
      <c r="Z280" s="3" t="s">
        <v>2264</v>
      </c>
      <c r="AA280" s="2" t="s">
        <v>40</v>
      </c>
      <c r="AB280" s="2" t="s">
        <v>50</v>
      </c>
      <c r="AC280" s="2" t="n">
        <v>0</v>
      </c>
      <c r="AD280" s="2" t="n">
        <v>757</v>
      </c>
      <c r="AE280" s="2" t="n">
        <v>0</v>
      </c>
      <c r="AF280" s="2"/>
      <c r="AG280" s="2" t="s">
        <v>2265</v>
      </c>
      <c r="AH280" s="2" t="s">
        <v>2266</v>
      </c>
      <c r="AI280" s="2" t="n">
        <v>0</v>
      </c>
    </row>
    <row r="281" customFormat="false" ht="15" hidden="false" customHeight="false" outlineLevel="0" collapsed="false">
      <c r="A281" s="2" t="n">
        <v>90863</v>
      </c>
      <c r="B281" s="2" t="s">
        <v>2267</v>
      </c>
      <c r="C281" s="2"/>
      <c r="D281" s="2" t="s">
        <v>2268</v>
      </c>
      <c r="E281" s="2" t="s">
        <v>37</v>
      </c>
      <c r="F281" s="2" t="s">
        <v>237</v>
      </c>
      <c r="G281" s="2" t="s">
        <v>39</v>
      </c>
      <c r="H281" s="2" t="s">
        <v>40</v>
      </c>
      <c r="I281" s="2" t="s">
        <v>40</v>
      </c>
      <c r="J281" s="2" t="s">
        <v>2269</v>
      </c>
      <c r="K281" s="2" t="s">
        <v>42</v>
      </c>
      <c r="L281" s="2" t="s">
        <v>43</v>
      </c>
      <c r="M281" s="2" t="s">
        <v>44</v>
      </c>
      <c r="N281" s="2"/>
      <c r="O281" s="2" t="n">
        <v>7.877692</v>
      </c>
      <c r="P281" s="2" t="n">
        <v>98.385679</v>
      </c>
      <c r="Q281" s="2" t="s">
        <v>2270</v>
      </c>
      <c r="R281" s="2"/>
      <c r="S281" s="2"/>
      <c r="T281" s="2"/>
      <c r="U281" s="2" t="s">
        <v>2271</v>
      </c>
      <c r="V281" s="2"/>
      <c r="W281" s="2" t="s">
        <v>2272</v>
      </c>
      <c r="X281" s="2"/>
      <c r="Y281" s="2" t="s">
        <v>48</v>
      </c>
      <c r="Z281" s="3" t="s">
        <v>2273</v>
      </c>
      <c r="AA281" s="2" t="s">
        <v>40</v>
      </c>
      <c r="AB281" s="2" t="s">
        <v>50</v>
      </c>
      <c r="AC281" s="2" t="n">
        <v>0</v>
      </c>
      <c r="AD281" s="2" t="n">
        <v>876</v>
      </c>
      <c r="AE281" s="2" t="n">
        <v>1</v>
      </c>
      <c r="AF281" s="2"/>
      <c r="AG281" s="2" t="s">
        <v>2274</v>
      </c>
      <c r="AH281" s="2" t="s">
        <v>2275</v>
      </c>
      <c r="AI281" s="2" t="n">
        <v>0</v>
      </c>
    </row>
    <row r="282" customFormat="false" ht="15" hidden="false" customHeight="false" outlineLevel="0" collapsed="false">
      <c r="A282" s="2" t="n">
        <v>91293</v>
      </c>
      <c r="B282" s="2" t="s">
        <v>2276</v>
      </c>
      <c r="C282" s="2"/>
      <c r="D282" s="2" t="s">
        <v>2277</v>
      </c>
      <c r="E282" s="2" t="s">
        <v>37</v>
      </c>
      <c r="F282" s="2" t="s">
        <v>106</v>
      </c>
      <c r="G282" s="2" t="s">
        <v>39</v>
      </c>
      <c r="H282" s="2" t="s">
        <v>40</v>
      </c>
      <c r="I282" s="2" t="s">
        <v>40</v>
      </c>
      <c r="J282" s="2" t="s">
        <v>2278</v>
      </c>
      <c r="K282" s="2" t="s">
        <v>109</v>
      </c>
      <c r="L282" s="2" t="s">
        <v>109</v>
      </c>
      <c r="M282" s="2" t="s">
        <v>44</v>
      </c>
      <c r="N282" s="2"/>
      <c r="O282" s="2" t="n">
        <v>7.899117</v>
      </c>
      <c r="P282" s="2" t="n">
        <v>98.3575394</v>
      </c>
      <c r="Q282" s="2"/>
      <c r="R282" s="2" t="s">
        <v>2279</v>
      </c>
      <c r="S282" s="2"/>
      <c r="T282" s="2"/>
      <c r="U282" s="2" t="s">
        <v>2280</v>
      </c>
      <c r="V282" s="2"/>
      <c r="W282" s="2" t="s">
        <v>318</v>
      </c>
      <c r="X282" s="2"/>
      <c r="Y282" s="2" t="s">
        <v>48</v>
      </c>
      <c r="Z282" s="3" t="s">
        <v>2281</v>
      </c>
      <c r="AA282" s="2" t="s">
        <v>40</v>
      </c>
      <c r="AB282" s="2" t="s">
        <v>50</v>
      </c>
      <c r="AC282" s="2" t="n">
        <v>0</v>
      </c>
      <c r="AD282" s="2" t="n">
        <v>704</v>
      </c>
      <c r="AE282" s="2" t="n">
        <v>0</v>
      </c>
      <c r="AF282" s="2"/>
      <c r="AG282" s="2" t="s">
        <v>2282</v>
      </c>
      <c r="AH282" s="2" t="s">
        <v>2283</v>
      </c>
      <c r="AI282" s="2" t="n">
        <v>0</v>
      </c>
    </row>
    <row r="283" customFormat="false" ht="15" hidden="false" customHeight="false" outlineLevel="0" collapsed="false">
      <c r="A283" s="2" t="n">
        <v>91936</v>
      </c>
      <c r="B283" s="2" t="s">
        <v>2284</v>
      </c>
      <c r="C283" s="2"/>
      <c r="D283" s="2" t="s">
        <v>1937</v>
      </c>
      <c r="E283" s="2" t="s">
        <v>37</v>
      </c>
      <c r="F283" s="2" t="s">
        <v>38</v>
      </c>
      <c r="G283" s="2" t="s">
        <v>39</v>
      </c>
      <c r="H283" s="2" t="s">
        <v>40</v>
      </c>
      <c r="I283" s="2" t="s">
        <v>40</v>
      </c>
      <c r="J283" s="2" t="s">
        <v>193</v>
      </c>
      <c r="K283" s="2" t="s">
        <v>78</v>
      </c>
      <c r="L283" s="2" t="s">
        <v>43</v>
      </c>
      <c r="M283" s="2" t="s">
        <v>44</v>
      </c>
      <c r="N283" s="2"/>
      <c r="O283" s="2" t="n">
        <v>7.8735548</v>
      </c>
      <c r="P283" s="2" t="n">
        <v>98.3663372</v>
      </c>
      <c r="Q283" s="2"/>
      <c r="R283" s="2" t="s">
        <v>2285</v>
      </c>
      <c r="S283" s="2"/>
      <c r="T283" s="2"/>
      <c r="U283" s="2" t="s">
        <v>2286</v>
      </c>
      <c r="V283" s="2"/>
      <c r="W283" s="2" t="s">
        <v>2287</v>
      </c>
      <c r="X283" s="2"/>
      <c r="Y283" s="2" t="s">
        <v>48</v>
      </c>
      <c r="Z283" s="3" t="s">
        <v>2288</v>
      </c>
      <c r="AA283" s="2" t="s">
        <v>40</v>
      </c>
      <c r="AB283" s="2" t="s">
        <v>50</v>
      </c>
      <c r="AC283" s="2" t="n">
        <v>0</v>
      </c>
      <c r="AD283" s="2" t="n">
        <v>675</v>
      </c>
      <c r="AE283" s="2" t="n">
        <v>1</v>
      </c>
      <c r="AF283" s="2"/>
      <c r="AG283" s="2" t="s">
        <v>2289</v>
      </c>
      <c r="AH283" s="2" t="s">
        <v>2290</v>
      </c>
      <c r="AI283" s="2" t="n">
        <v>0</v>
      </c>
    </row>
    <row r="284" customFormat="false" ht="15" hidden="false" customHeight="false" outlineLevel="0" collapsed="false">
      <c r="A284" s="2" t="n">
        <v>90887</v>
      </c>
      <c r="B284" s="2" t="s">
        <v>2291</v>
      </c>
      <c r="C284" s="2"/>
      <c r="D284" s="2" t="s">
        <v>236</v>
      </c>
      <c r="E284" s="2" t="s">
        <v>37</v>
      </c>
      <c r="F284" s="2" t="s">
        <v>106</v>
      </c>
      <c r="G284" s="2" t="s">
        <v>39</v>
      </c>
      <c r="H284" s="2" t="s">
        <v>40</v>
      </c>
      <c r="I284" s="2" t="s">
        <v>40</v>
      </c>
      <c r="J284" s="2" t="s">
        <v>1708</v>
      </c>
      <c r="K284" s="2" t="s">
        <v>68</v>
      </c>
      <c r="L284" s="2" t="s">
        <v>43</v>
      </c>
      <c r="M284" s="2" t="s">
        <v>44</v>
      </c>
      <c r="N284" s="2"/>
      <c r="O284" s="2" t="n">
        <v>7.9003155</v>
      </c>
      <c r="P284" s="2" t="n">
        <v>98.3820776</v>
      </c>
      <c r="Q284" s="2" t="s">
        <v>2292</v>
      </c>
      <c r="R284" s="2"/>
      <c r="S284" s="2"/>
      <c r="T284" s="2"/>
      <c r="U284" s="2" t="s">
        <v>2293</v>
      </c>
      <c r="V284" s="2"/>
      <c r="W284" s="2" t="s">
        <v>452</v>
      </c>
      <c r="X284" s="2"/>
      <c r="Y284" s="2" t="s">
        <v>48</v>
      </c>
      <c r="Z284" s="3" t="s">
        <v>2294</v>
      </c>
      <c r="AA284" s="2" t="s">
        <v>40</v>
      </c>
      <c r="AB284" s="2" t="s">
        <v>50</v>
      </c>
      <c r="AC284" s="2" t="n">
        <v>0</v>
      </c>
      <c r="AD284" s="2" t="n">
        <v>665</v>
      </c>
      <c r="AE284" s="2" t="n">
        <v>0</v>
      </c>
      <c r="AF284" s="2"/>
      <c r="AG284" s="2" t="s">
        <v>2295</v>
      </c>
      <c r="AH284" s="2" t="s">
        <v>2296</v>
      </c>
      <c r="AI284" s="2" t="n">
        <v>0</v>
      </c>
    </row>
    <row r="285" customFormat="false" ht="15" hidden="false" customHeight="false" outlineLevel="0" collapsed="false">
      <c r="A285" s="2" t="n">
        <v>91784</v>
      </c>
      <c r="B285" s="2" t="s">
        <v>2297</v>
      </c>
      <c r="C285" s="2"/>
      <c r="D285" s="2" t="s">
        <v>1501</v>
      </c>
      <c r="E285" s="2" t="s">
        <v>117</v>
      </c>
      <c r="F285" s="2" t="s">
        <v>38</v>
      </c>
      <c r="G285" s="2" t="s">
        <v>39</v>
      </c>
      <c r="H285" s="2" t="s">
        <v>40</v>
      </c>
      <c r="I285" s="2" t="s">
        <v>40</v>
      </c>
      <c r="J285" s="2" t="s">
        <v>2298</v>
      </c>
      <c r="K285" s="2" t="s">
        <v>57</v>
      </c>
      <c r="L285" s="2" t="s">
        <v>58</v>
      </c>
      <c r="M285" s="2" t="s">
        <v>44</v>
      </c>
      <c r="N285" s="2"/>
      <c r="O285" s="2" t="n">
        <v>7.9817552</v>
      </c>
      <c r="P285" s="2" t="n">
        <v>98.2981847</v>
      </c>
      <c r="Q285" s="2"/>
      <c r="R285" s="2" t="s">
        <v>2299</v>
      </c>
      <c r="S285" s="2"/>
      <c r="T285" s="2"/>
      <c r="U285" s="2" t="s">
        <v>2300</v>
      </c>
      <c r="V285" s="2"/>
      <c r="W285" s="2" t="s">
        <v>2301</v>
      </c>
      <c r="X285" s="2"/>
      <c r="Y285" s="2" t="s">
        <v>48</v>
      </c>
      <c r="Z285" s="3" t="s">
        <v>2302</v>
      </c>
      <c r="AA285" s="2" t="s">
        <v>40</v>
      </c>
      <c r="AB285" s="2" t="s">
        <v>50</v>
      </c>
      <c r="AC285" s="2" t="n">
        <v>0</v>
      </c>
      <c r="AD285" s="2" t="n">
        <v>609</v>
      </c>
      <c r="AE285" s="2" t="n">
        <v>0</v>
      </c>
      <c r="AF285" s="2"/>
      <c r="AG285" s="2" t="s">
        <v>2303</v>
      </c>
      <c r="AH285" s="2" t="s">
        <v>2304</v>
      </c>
      <c r="AI285" s="2" t="n">
        <v>0</v>
      </c>
    </row>
    <row r="286" customFormat="false" ht="15" hidden="false" customHeight="false" outlineLevel="0" collapsed="false">
      <c r="A286" s="2" t="n">
        <v>90925</v>
      </c>
      <c r="B286" s="2" t="s">
        <v>2305</v>
      </c>
      <c r="C286" s="2"/>
      <c r="D286" s="2" t="s">
        <v>457</v>
      </c>
      <c r="E286" s="2" t="s">
        <v>55</v>
      </c>
      <c r="F286" s="2" t="s">
        <v>38</v>
      </c>
      <c r="G286" s="2" t="s">
        <v>39</v>
      </c>
      <c r="H286" s="2" t="s">
        <v>40</v>
      </c>
      <c r="I286" s="2" t="s">
        <v>40</v>
      </c>
      <c r="J286" s="2" t="s">
        <v>2306</v>
      </c>
      <c r="K286" s="2" t="s">
        <v>42</v>
      </c>
      <c r="L286" s="2" t="s">
        <v>43</v>
      </c>
      <c r="M286" s="2" t="s">
        <v>44</v>
      </c>
      <c r="N286" s="2"/>
      <c r="O286" s="2" t="n">
        <v>7.8831361</v>
      </c>
      <c r="P286" s="2" t="n">
        <v>98.3875104</v>
      </c>
      <c r="Q286" s="2"/>
      <c r="R286" s="2" t="s">
        <v>2307</v>
      </c>
      <c r="S286" s="2"/>
      <c r="T286" s="2"/>
      <c r="U286" s="2" t="s">
        <v>2308</v>
      </c>
      <c r="V286" s="2"/>
      <c r="W286" s="2" t="s">
        <v>292</v>
      </c>
      <c r="X286" s="2"/>
      <c r="Y286" s="2" t="s">
        <v>48</v>
      </c>
      <c r="Z286" s="3" t="s">
        <v>2309</v>
      </c>
      <c r="AA286" s="2" t="s">
        <v>40</v>
      </c>
      <c r="AB286" s="2" t="s">
        <v>50</v>
      </c>
      <c r="AC286" s="2" t="n">
        <v>0</v>
      </c>
      <c r="AD286" s="2" t="n">
        <v>863</v>
      </c>
      <c r="AE286" s="2" t="n">
        <v>1</v>
      </c>
      <c r="AF286" s="2"/>
      <c r="AG286" s="2" t="s">
        <v>2310</v>
      </c>
      <c r="AH286" s="2" t="s">
        <v>2311</v>
      </c>
      <c r="AI286" s="2" t="n">
        <v>0</v>
      </c>
    </row>
    <row r="287" customFormat="false" ht="15" hidden="false" customHeight="false" outlineLevel="0" collapsed="false">
      <c r="A287" s="2" t="n">
        <v>92081</v>
      </c>
      <c r="B287" s="2" t="s">
        <v>2312</v>
      </c>
      <c r="C287" s="2"/>
      <c r="D287" s="2" t="s">
        <v>457</v>
      </c>
      <c r="E287" s="2" t="s">
        <v>55</v>
      </c>
      <c r="F287" s="2" t="s">
        <v>38</v>
      </c>
      <c r="G287" s="2" t="s">
        <v>39</v>
      </c>
      <c r="H287" s="2" t="s">
        <v>40</v>
      </c>
      <c r="I287" s="2" t="s">
        <v>40</v>
      </c>
      <c r="J287" s="2" t="s">
        <v>1915</v>
      </c>
      <c r="K287" s="2" t="s">
        <v>68</v>
      </c>
      <c r="L287" s="2" t="s">
        <v>43</v>
      </c>
      <c r="M287" s="2" t="s">
        <v>44</v>
      </c>
      <c r="N287" s="2"/>
      <c r="O287" s="2" t="n">
        <v>7.9005463</v>
      </c>
      <c r="P287" s="2" t="n">
        <v>98.3816317</v>
      </c>
      <c r="Q287" s="2"/>
      <c r="R287" s="2" t="s">
        <v>2313</v>
      </c>
      <c r="S287" s="2"/>
      <c r="T287" s="2"/>
      <c r="U287" s="2" t="s">
        <v>2314</v>
      </c>
      <c r="V287" s="2"/>
      <c r="W287" s="2" t="s">
        <v>2196</v>
      </c>
      <c r="X287" s="2"/>
      <c r="Y287" s="2" t="s">
        <v>48</v>
      </c>
      <c r="Z287" s="3" t="s">
        <v>2315</v>
      </c>
      <c r="AA287" s="2" t="s">
        <v>40</v>
      </c>
      <c r="AB287" s="2" t="s">
        <v>50</v>
      </c>
      <c r="AC287" s="2" t="n">
        <v>0</v>
      </c>
      <c r="AD287" s="2" t="n">
        <v>543</v>
      </c>
      <c r="AE287" s="2" t="n">
        <v>1</v>
      </c>
      <c r="AF287" s="2"/>
      <c r="AG287" s="2" t="s">
        <v>2316</v>
      </c>
      <c r="AH287" s="2" t="s">
        <v>2317</v>
      </c>
      <c r="AI287" s="2" t="n">
        <v>0</v>
      </c>
    </row>
    <row r="288" customFormat="false" ht="15" hidden="false" customHeight="false" outlineLevel="0" collapsed="false">
      <c r="A288" s="2" t="n">
        <v>91159</v>
      </c>
      <c r="B288" s="2" t="s">
        <v>2318</v>
      </c>
      <c r="C288" s="2"/>
      <c r="D288" s="2" t="s">
        <v>457</v>
      </c>
      <c r="E288" s="2" t="s">
        <v>55</v>
      </c>
      <c r="F288" s="2" t="s">
        <v>106</v>
      </c>
      <c r="G288" s="2" t="s">
        <v>39</v>
      </c>
      <c r="H288" s="2" t="s">
        <v>40</v>
      </c>
      <c r="I288" s="2" t="s">
        <v>40</v>
      </c>
      <c r="J288" s="2" t="s">
        <v>2319</v>
      </c>
      <c r="K288" s="2" t="s">
        <v>42</v>
      </c>
      <c r="L288" s="2" t="s">
        <v>43</v>
      </c>
      <c r="M288" s="2" t="s">
        <v>44</v>
      </c>
      <c r="N288" s="2"/>
      <c r="O288" s="2" t="n">
        <v>7.883507</v>
      </c>
      <c r="P288" s="2" t="n">
        <v>98.388483</v>
      </c>
      <c r="Q288" s="2"/>
      <c r="R288" s="2" t="s">
        <v>2320</v>
      </c>
      <c r="S288" s="2"/>
      <c r="T288" s="2"/>
      <c r="U288" s="2" t="s">
        <v>2321</v>
      </c>
      <c r="V288" s="2"/>
      <c r="W288" s="2" t="s">
        <v>1432</v>
      </c>
      <c r="X288" s="2"/>
      <c r="Y288" s="2" t="s">
        <v>48</v>
      </c>
      <c r="Z288" s="3" t="s">
        <v>2322</v>
      </c>
      <c r="AA288" s="2" t="s">
        <v>40</v>
      </c>
      <c r="AB288" s="2" t="s">
        <v>50</v>
      </c>
      <c r="AC288" s="2" t="n">
        <v>0</v>
      </c>
      <c r="AD288" s="2" t="n">
        <v>933</v>
      </c>
      <c r="AE288" s="2" t="n">
        <v>0</v>
      </c>
      <c r="AF288" s="2"/>
      <c r="AG288" s="2" t="s">
        <v>2323</v>
      </c>
      <c r="AH288" s="2" t="s">
        <v>2324</v>
      </c>
      <c r="AI288" s="2" t="n">
        <v>0</v>
      </c>
    </row>
    <row r="289" customFormat="false" ht="15" hidden="false" customHeight="false" outlineLevel="0" collapsed="false">
      <c r="A289" s="2" t="n">
        <v>91281</v>
      </c>
      <c r="B289" s="2" t="s">
        <v>2325</v>
      </c>
      <c r="C289" s="2"/>
      <c r="D289" s="2" t="s">
        <v>726</v>
      </c>
      <c r="E289" s="2" t="s">
        <v>37</v>
      </c>
      <c r="F289" s="2" t="s">
        <v>106</v>
      </c>
      <c r="G289" s="2" t="s">
        <v>39</v>
      </c>
      <c r="H289" s="2" t="s">
        <v>40</v>
      </c>
      <c r="I289" s="2" t="s">
        <v>40</v>
      </c>
      <c r="J289" s="2" t="s">
        <v>2240</v>
      </c>
      <c r="K289" s="2" t="s">
        <v>88</v>
      </c>
      <c r="L289" s="2" t="s">
        <v>43</v>
      </c>
      <c r="M289" s="2" t="s">
        <v>44</v>
      </c>
      <c r="N289" s="2"/>
      <c r="O289" s="2" t="n">
        <v>7.775871</v>
      </c>
      <c r="P289" s="2" t="n">
        <v>98.329164</v>
      </c>
      <c r="Q289" s="2" t="s">
        <v>2326</v>
      </c>
      <c r="R289" s="2"/>
      <c r="S289" s="2"/>
      <c r="T289" s="2"/>
      <c r="U289" s="2" t="s">
        <v>2327</v>
      </c>
      <c r="V289" s="2"/>
      <c r="W289" s="2" t="s">
        <v>81</v>
      </c>
      <c r="X289" s="2"/>
      <c r="Y289" s="2" t="s">
        <v>48</v>
      </c>
      <c r="Z289" s="3" t="s">
        <v>2328</v>
      </c>
      <c r="AA289" s="2" t="s">
        <v>40</v>
      </c>
      <c r="AB289" s="2" t="s">
        <v>50</v>
      </c>
      <c r="AC289" s="2" t="n">
        <v>0</v>
      </c>
      <c r="AD289" s="2" t="n">
        <v>642</v>
      </c>
      <c r="AE289" s="2" t="n">
        <v>0</v>
      </c>
      <c r="AF289" s="2"/>
      <c r="AG289" s="2" t="s">
        <v>2329</v>
      </c>
      <c r="AH289" s="2" t="s">
        <v>2330</v>
      </c>
      <c r="AI289" s="2" t="n">
        <v>0</v>
      </c>
    </row>
    <row r="290" customFormat="false" ht="15" hidden="false" customHeight="false" outlineLevel="0" collapsed="false">
      <c r="A290" s="2" t="n">
        <v>91197</v>
      </c>
      <c r="B290" s="2" t="s">
        <v>2331</v>
      </c>
      <c r="C290" s="2"/>
      <c r="D290" s="2" t="s">
        <v>2332</v>
      </c>
      <c r="E290" s="2" t="s">
        <v>117</v>
      </c>
      <c r="F290" s="2" t="s">
        <v>38</v>
      </c>
      <c r="G290" s="2" t="s">
        <v>39</v>
      </c>
      <c r="H290" s="2" t="s">
        <v>40</v>
      </c>
      <c r="I290" s="2" t="s">
        <v>40</v>
      </c>
      <c r="J290" s="2" t="s">
        <v>2333</v>
      </c>
      <c r="K290" s="2" t="s">
        <v>68</v>
      </c>
      <c r="L290" s="2" t="s">
        <v>43</v>
      </c>
      <c r="M290" s="2" t="s">
        <v>44</v>
      </c>
      <c r="N290" s="2"/>
      <c r="O290" s="2" t="n">
        <v>7.879387</v>
      </c>
      <c r="P290" s="2" t="n">
        <v>98.393523</v>
      </c>
      <c r="Q290" s="2"/>
      <c r="R290" s="2" t="s">
        <v>2334</v>
      </c>
      <c r="S290" s="2"/>
      <c r="T290" s="2"/>
      <c r="U290" s="2" t="s">
        <v>2335</v>
      </c>
      <c r="V290" s="2"/>
      <c r="W290" s="2" t="s">
        <v>2336</v>
      </c>
      <c r="X290" s="2"/>
      <c r="Y290" s="2" t="s">
        <v>48</v>
      </c>
      <c r="Z290" s="3" t="s">
        <v>2337</v>
      </c>
      <c r="AA290" s="2" t="s">
        <v>40</v>
      </c>
      <c r="AB290" s="2" t="s">
        <v>50</v>
      </c>
      <c r="AC290" s="2" t="n">
        <v>0</v>
      </c>
      <c r="AD290" s="2" t="n">
        <v>723</v>
      </c>
      <c r="AE290" s="2" t="n">
        <v>0</v>
      </c>
      <c r="AF290" s="2"/>
      <c r="AG290" s="2" t="s">
        <v>2338</v>
      </c>
      <c r="AH290" s="2" t="s">
        <v>2339</v>
      </c>
      <c r="AI290" s="2" t="n">
        <v>0</v>
      </c>
    </row>
    <row r="291" customFormat="false" ht="15" hidden="false" customHeight="false" outlineLevel="0" collapsed="false">
      <c r="A291" s="2" t="n">
        <v>91289</v>
      </c>
      <c r="B291" s="2" t="s">
        <v>2340</v>
      </c>
      <c r="C291" s="2"/>
      <c r="D291" s="2" t="s">
        <v>2016</v>
      </c>
      <c r="E291" s="2" t="s">
        <v>117</v>
      </c>
      <c r="F291" s="2" t="s">
        <v>38</v>
      </c>
      <c r="G291" s="2" t="s">
        <v>39</v>
      </c>
      <c r="H291" s="2" t="s">
        <v>40</v>
      </c>
      <c r="I291" s="2" t="s">
        <v>40</v>
      </c>
      <c r="J291" s="2" t="s">
        <v>839</v>
      </c>
      <c r="K291" s="2" t="s">
        <v>68</v>
      </c>
      <c r="L291" s="2" t="s">
        <v>43</v>
      </c>
      <c r="M291" s="2" t="s">
        <v>44</v>
      </c>
      <c r="N291" s="2"/>
      <c r="O291" s="2" t="n">
        <v>7.902325</v>
      </c>
      <c r="P291" s="2" t="n">
        <v>98.377891</v>
      </c>
      <c r="Q291" s="2"/>
      <c r="R291" s="2" t="s">
        <v>2341</v>
      </c>
      <c r="S291" s="2"/>
      <c r="T291" s="2"/>
      <c r="U291" s="2" t="s">
        <v>2342</v>
      </c>
      <c r="V291" s="2"/>
      <c r="W291" s="2" t="s">
        <v>2343</v>
      </c>
      <c r="X291" s="2"/>
      <c r="Y291" s="2" t="s">
        <v>48</v>
      </c>
      <c r="Z291" s="3" t="s">
        <v>2344</v>
      </c>
      <c r="AA291" s="2" t="s">
        <v>40</v>
      </c>
      <c r="AB291" s="2" t="s">
        <v>50</v>
      </c>
      <c r="AC291" s="2" t="n">
        <v>0</v>
      </c>
      <c r="AD291" s="2" t="n">
        <v>725</v>
      </c>
      <c r="AE291" s="2" t="n">
        <v>0</v>
      </c>
      <c r="AF291" s="2"/>
      <c r="AG291" s="2" t="s">
        <v>2345</v>
      </c>
      <c r="AH291" s="2" t="s">
        <v>2346</v>
      </c>
      <c r="AI291" s="2" t="n">
        <v>0</v>
      </c>
    </row>
    <row r="292" customFormat="false" ht="15" hidden="false" customHeight="false" outlineLevel="0" collapsed="false">
      <c r="A292" s="2" t="n">
        <v>92104</v>
      </c>
      <c r="B292" s="2" t="s">
        <v>2347</v>
      </c>
      <c r="C292" s="2"/>
      <c r="D292" s="2" t="s">
        <v>2348</v>
      </c>
      <c r="E292" s="2" t="s">
        <v>55</v>
      </c>
      <c r="F292" s="2" t="s">
        <v>106</v>
      </c>
      <c r="G292" s="2" t="s">
        <v>39</v>
      </c>
      <c r="H292" s="2" t="s">
        <v>40</v>
      </c>
      <c r="I292" s="2" t="s">
        <v>40</v>
      </c>
      <c r="J292" s="2" t="s">
        <v>2349</v>
      </c>
      <c r="K292" s="2" t="s">
        <v>399</v>
      </c>
      <c r="L292" s="2" t="s">
        <v>43</v>
      </c>
      <c r="M292" s="2" t="s">
        <v>44</v>
      </c>
      <c r="N292" s="2"/>
      <c r="O292" s="2" t="n">
        <v>7.860714</v>
      </c>
      <c r="P292" s="2" t="n">
        <v>98.2839813</v>
      </c>
      <c r="Q292" s="2" t="s">
        <v>2350</v>
      </c>
      <c r="R292" s="2"/>
      <c r="S292" s="2"/>
      <c r="T292" s="2"/>
      <c r="U292" s="2" t="s">
        <v>2351</v>
      </c>
      <c r="V292" s="2"/>
      <c r="W292" s="2" t="s">
        <v>452</v>
      </c>
      <c r="X292" s="2"/>
      <c r="Y292" s="2" t="s">
        <v>48</v>
      </c>
      <c r="Z292" s="3" t="s">
        <v>2352</v>
      </c>
      <c r="AA292" s="2" t="s">
        <v>40</v>
      </c>
      <c r="AB292" s="2" t="s">
        <v>50</v>
      </c>
      <c r="AC292" s="2" t="n">
        <v>0</v>
      </c>
      <c r="AD292" s="2" t="n">
        <v>715</v>
      </c>
      <c r="AE292" s="2" t="n">
        <v>1</v>
      </c>
      <c r="AF292" s="2"/>
      <c r="AG292" s="2" t="s">
        <v>2353</v>
      </c>
      <c r="AH292" s="2" t="s">
        <v>2354</v>
      </c>
      <c r="AI292" s="2" t="n">
        <v>0</v>
      </c>
    </row>
    <row r="293" customFormat="false" ht="15" hidden="false" customHeight="false" outlineLevel="0" collapsed="false">
      <c r="A293" s="2" t="n">
        <v>91295</v>
      </c>
      <c r="B293" s="2" t="s">
        <v>2355</v>
      </c>
      <c r="C293" s="2"/>
      <c r="D293" s="2" t="s">
        <v>2356</v>
      </c>
      <c r="E293" s="2" t="s">
        <v>37</v>
      </c>
      <c r="F293" s="2" t="s">
        <v>38</v>
      </c>
      <c r="G293" s="2" t="s">
        <v>39</v>
      </c>
      <c r="H293" s="2" t="s">
        <v>40</v>
      </c>
      <c r="I293" s="2" t="s">
        <v>40</v>
      </c>
      <c r="J293" s="2" t="s">
        <v>2357</v>
      </c>
      <c r="K293" s="2" t="s">
        <v>131</v>
      </c>
      <c r="L293" s="2" t="s">
        <v>58</v>
      </c>
      <c r="M293" s="2" t="s">
        <v>44</v>
      </c>
      <c r="N293" s="2"/>
      <c r="O293" s="2" t="n">
        <v>8.094311</v>
      </c>
      <c r="P293" s="2" t="n">
        <v>98.31381</v>
      </c>
      <c r="Q293" s="2"/>
      <c r="R293" s="2" t="s">
        <v>2358</v>
      </c>
      <c r="S293" s="2"/>
      <c r="T293" s="2"/>
      <c r="U293" s="2" t="s">
        <v>2359</v>
      </c>
      <c r="V293" s="2"/>
      <c r="W293" s="2" t="s">
        <v>2360</v>
      </c>
      <c r="X293" s="2"/>
      <c r="Y293" s="2" t="s">
        <v>48</v>
      </c>
      <c r="Z293" s="3" t="s">
        <v>2361</v>
      </c>
      <c r="AA293" s="2" t="s">
        <v>40</v>
      </c>
      <c r="AB293" s="2" t="s">
        <v>50</v>
      </c>
      <c r="AC293" s="2" t="n">
        <v>0</v>
      </c>
      <c r="AD293" s="2" t="n">
        <v>559</v>
      </c>
      <c r="AE293" s="2" t="n">
        <v>1</v>
      </c>
      <c r="AF293" s="2"/>
      <c r="AG293" s="2" t="s">
        <v>2362</v>
      </c>
      <c r="AH293" s="2" t="s">
        <v>2363</v>
      </c>
      <c r="AI293" s="2" t="n">
        <v>0</v>
      </c>
    </row>
    <row r="294" customFormat="false" ht="15" hidden="false" customHeight="false" outlineLevel="0" collapsed="false">
      <c r="A294" s="2" t="n">
        <v>90832</v>
      </c>
      <c r="B294" s="2" t="s">
        <v>2364</v>
      </c>
      <c r="C294" s="2"/>
      <c r="D294" s="2" t="s">
        <v>790</v>
      </c>
      <c r="E294" s="2" t="s">
        <v>37</v>
      </c>
      <c r="F294" s="2" t="s">
        <v>237</v>
      </c>
      <c r="G294" s="2" t="s">
        <v>39</v>
      </c>
      <c r="H294" s="2" t="s">
        <v>40</v>
      </c>
      <c r="I294" s="2" t="s">
        <v>40</v>
      </c>
      <c r="J294" s="2" t="s">
        <v>2365</v>
      </c>
      <c r="K294" s="2" t="s">
        <v>68</v>
      </c>
      <c r="L294" s="2" t="s">
        <v>43</v>
      </c>
      <c r="M294" s="2" t="s">
        <v>44</v>
      </c>
      <c r="N294" s="2"/>
      <c r="O294" s="2" t="n">
        <v>7.885801</v>
      </c>
      <c r="P294" s="2" t="n">
        <v>98.3976</v>
      </c>
      <c r="Q294" s="2"/>
      <c r="R294" s="2" t="s">
        <v>2366</v>
      </c>
      <c r="S294" s="2"/>
      <c r="T294" s="2"/>
      <c r="U294" s="2" t="s">
        <v>2367</v>
      </c>
      <c r="V294" s="2"/>
      <c r="W294" s="2" t="s">
        <v>2368</v>
      </c>
      <c r="X294" s="2"/>
      <c r="Y294" s="2" t="s">
        <v>48</v>
      </c>
      <c r="Z294" s="3" t="s">
        <v>2369</v>
      </c>
      <c r="AA294" s="2" t="s">
        <v>40</v>
      </c>
      <c r="AB294" s="2" t="s">
        <v>50</v>
      </c>
      <c r="AC294" s="2" t="n">
        <v>0</v>
      </c>
      <c r="AD294" s="2" t="n">
        <v>897</v>
      </c>
      <c r="AE294" s="2" t="n">
        <v>0</v>
      </c>
      <c r="AF294" s="2"/>
      <c r="AG294" s="2" t="s">
        <v>2370</v>
      </c>
      <c r="AH294" s="2" t="s">
        <v>2371</v>
      </c>
      <c r="AI294" s="2" t="n">
        <v>0</v>
      </c>
    </row>
    <row r="295" customFormat="false" ht="15" hidden="false" customHeight="false" outlineLevel="0" collapsed="false">
      <c r="A295" s="2" t="n">
        <v>91739</v>
      </c>
      <c r="B295" s="2" t="s">
        <v>2372</v>
      </c>
      <c r="C295" s="2"/>
      <c r="D295" s="2" t="s">
        <v>1707</v>
      </c>
      <c r="E295" s="2" t="s">
        <v>117</v>
      </c>
      <c r="F295" s="2" t="s">
        <v>106</v>
      </c>
      <c r="G295" s="2" t="s">
        <v>39</v>
      </c>
      <c r="H295" s="2" t="s">
        <v>40</v>
      </c>
      <c r="I295" s="2" t="s">
        <v>40</v>
      </c>
      <c r="J295" s="2" t="s">
        <v>1898</v>
      </c>
      <c r="K295" s="2" t="s">
        <v>68</v>
      </c>
      <c r="L295" s="2" t="s">
        <v>43</v>
      </c>
      <c r="M295" s="2" t="s">
        <v>44</v>
      </c>
      <c r="N295" s="2"/>
      <c r="O295" s="2" t="n">
        <v>7.902544</v>
      </c>
      <c r="P295" s="2" t="n">
        <v>98.378242</v>
      </c>
      <c r="Q295" s="2"/>
      <c r="R295" s="2" t="s">
        <v>2373</v>
      </c>
      <c r="S295" s="2"/>
      <c r="T295" s="2"/>
      <c r="U295" s="2" t="s">
        <v>2374</v>
      </c>
      <c r="V295" s="2"/>
      <c r="W295" s="2" t="s">
        <v>2375</v>
      </c>
      <c r="X295" s="2"/>
      <c r="Y295" s="2" t="s">
        <v>48</v>
      </c>
      <c r="Z295" s="3" t="s">
        <v>2376</v>
      </c>
      <c r="AA295" s="2" t="s">
        <v>40</v>
      </c>
      <c r="AB295" s="2" t="s">
        <v>50</v>
      </c>
      <c r="AC295" s="2" t="n">
        <v>0</v>
      </c>
      <c r="AD295" s="2" t="n">
        <v>604</v>
      </c>
      <c r="AE295" s="2" t="n">
        <v>1</v>
      </c>
      <c r="AF295" s="2"/>
      <c r="AG295" s="2" t="s">
        <v>2377</v>
      </c>
      <c r="AH295" s="2" t="s">
        <v>2378</v>
      </c>
      <c r="AI295" s="2" t="n">
        <v>0</v>
      </c>
    </row>
    <row r="296" customFormat="false" ht="15" hidden="false" customHeight="false" outlineLevel="0" collapsed="false">
      <c r="A296" s="2" t="n">
        <v>91749</v>
      </c>
      <c r="B296" s="2" t="s">
        <v>2379</v>
      </c>
      <c r="C296" s="2"/>
      <c r="D296" s="2" t="s">
        <v>76</v>
      </c>
      <c r="E296" s="2" t="s">
        <v>117</v>
      </c>
      <c r="F296" s="2" t="s">
        <v>38</v>
      </c>
      <c r="G296" s="2" t="s">
        <v>39</v>
      </c>
      <c r="H296" s="2" t="s">
        <v>40</v>
      </c>
      <c r="I296" s="2" t="s">
        <v>40</v>
      </c>
      <c r="J296" s="2" t="s">
        <v>2380</v>
      </c>
      <c r="K296" s="2" t="s">
        <v>42</v>
      </c>
      <c r="L296" s="2" t="s">
        <v>43</v>
      </c>
      <c r="M296" s="2" t="s">
        <v>44</v>
      </c>
      <c r="N296" s="2"/>
      <c r="O296" s="2" t="n">
        <v>7.8846233</v>
      </c>
      <c r="P296" s="2" t="n">
        <v>98.3825522</v>
      </c>
      <c r="Q296" s="2"/>
      <c r="R296" s="2" t="s">
        <v>2381</v>
      </c>
      <c r="S296" s="2"/>
      <c r="T296" s="2"/>
      <c r="U296" s="2" t="s">
        <v>2382</v>
      </c>
      <c r="V296" s="2"/>
      <c r="W296" s="2" t="s">
        <v>2383</v>
      </c>
      <c r="X296" s="2"/>
      <c r="Y296" s="2" t="s">
        <v>48</v>
      </c>
      <c r="Z296" s="3" t="s">
        <v>2384</v>
      </c>
      <c r="AA296" s="2" t="s">
        <v>40</v>
      </c>
      <c r="AB296" s="2" t="s">
        <v>50</v>
      </c>
      <c r="AC296" s="2" t="n">
        <v>0</v>
      </c>
      <c r="AD296" s="2" t="n">
        <v>580</v>
      </c>
      <c r="AE296" s="2" t="n">
        <v>0</v>
      </c>
      <c r="AF296" s="2"/>
      <c r="AG296" s="2" t="s">
        <v>2385</v>
      </c>
      <c r="AH296" s="2" t="s">
        <v>2386</v>
      </c>
      <c r="AI296" s="2" t="n">
        <v>0</v>
      </c>
    </row>
    <row r="297" customFormat="false" ht="15" hidden="false" customHeight="false" outlineLevel="0" collapsed="false">
      <c r="A297" s="2" t="n">
        <v>91416</v>
      </c>
      <c r="B297" s="2" t="s">
        <v>2387</v>
      </c>
      <c r="C297" s="2"/>
      <c r="D297" s="2" t="s">
        <v>2388</v>
      </c>
      <c r="E297" s="2" t="s">
        <v>37</v>
      </c>
      <c r="F297" s="2" t="s">
        <v>106</v>
      </c>
      <c r="G297" s="2" t="s">
        <v>39</v>
      </c>
      <c r="H297" s="2" t="s">
        <v>40</v>
      </c>
      <c r="I297" s="2" t="s">
        <v>40</v>
      </c>
      <c r="J297" s="2" t="s">
        <v>782</v>
      </c>
      <c r="K297" s="2" t="s">
        <v>474</v>
      </c>
      <c r="L297" s="2" t="s">
        <v>43</v>
      </c>
      <c r="M297" s="2" t="s">
        <v>44</v>
      </c>
      <c r="N297" s="2"/>
      <c r="O297" s="2" t="n">
        <v>7.8505034</v>
      </c>
      <c r="P297" s="2" t="n">
        <v>98.3351731</v>
      </c>
      <c r="Q297" s="2"/>
      <c r="R297" s="2" t="s">
        <v>2389</v>
      </c>
      <c r="S297" s="2"/>
      <c r="T297" s="2"/>
      <c r="U297" s="2" t="s">
        <v>2390</v>
      </c>
      <c r="V297" s="2"/>
      <c r="W297" s="2" t="s">
        <v>292</v>
      </c>
      <c r="X297" s="2"/>
      <c r="Y297" s="2" t="s">
        <v>48</v>
      </c>
      <c r="Z297" s="3" t="s">
        <v>2391</v>
      </c>
      <c r="AA297" s="2" t="s">
        <v>40</v>
      </c>
      <c r="AB297" s="2" t="s">
        <v>50</v>
      </c>
      <c r="AC297" s="2" t="n">
        <v>0</v>
      </c>
      <c r="AD297" s="2" t="n">
        <v>562</v>
      </c>
      <c r="AE297" s="2" t="n">
        <v>1</v>
      </c>
      <c r="AF297" s="2"/>
      <c r="AG297" s="2" t="s">
        <v>2392</v>
      </c>
      <c r="AH297" s="2" t="s">
        <v>2393</v>
      </c>
      <c r="AI297" s="2" t="n">
        <v>0</v>
      </c>
    </row>
    <row r="298" customFormat="false" ht="15" hidden="false" customHeight="false" outlineLevel="0" collapsed="false">
      <c r="A298" s="2" t="n">
        <v>85578</v>
      </c>
      <c r="B298" s="2" t="s">
        <v>2394</v>
      </c>
      <c r="C298" s="2"/>
      <c r="D298" s="2" t="s">
        <v>2395</v>
      </c>
      <c r="E298" s="2" t="s">
        <v>117</v>
      </c>
      <c r="F298" s="2" t="s">
        <v>237</v>
      </c>
      <c r="G298" s="2" t="s">
        <v>39</v>
      </c>
      <c r="H298" s="2" t="s">
        <v>40</v>
      </c>
      <c r="I298" s="2" t="s">
        <v>40</v>
      </c>
      <c r="J298" s="2" t="s">
        <v>2396</v>
      </c>
      <c r="K298" s="2" t="s">
        <v>68</v>
      </c>
      <c r="L298" s="2" t="s">
        <v>43</v>
      </c>
      <c r="M298" s="2" t="s">
        <v>44</v>
      </c>
      <c r="N298" s="2" t="s">
        <v>1907</v>
      </c>
      <c r="O298" s="2" t="n">
        <v>7.8858599476</v>
      </c>
      <c r="P298" s="2" t="n">
        <v>98.3875493984</v>
      </c>
      <c r="Q298" s="2"/>
      <c r="R298" s="2"/>
      <c r="S298" s="2"/>
      <c r="T298" s="2"/>
      <c r="U298" s="2"/>
      <c r="V298" s="2"/>
      <c r="W298" s="2" t="s">
        <v>1908</v>
      </c>
      <c r="X298" s="2" t="s">
        <v>2397</v>
      </c>
      <c r="Y298" s="2" t="s">
        <v>1909</v>
      </c>
      <c r="Z298" s="3" t="s">
        <v>2398</v>
      </c>
      <c r="AA298" s="2" t="s">
        <v>40</v>
      </c>
      <c r="AB298" s="2" t="s">
        <v>50</v>
      </c>
      <c r="AC298" s="2" t="n">
        <v>0</v>
      </c>
      <c r="AD298" s="2" t="n">
        <v>1067</v>
      </c>
      <c r="AE298" s="2" t="n">
        <v>1</v>
      </c>
      <c r="AF298" s="2"/>
      <c r="AG298" s="2" t="s">
        <v>2399</v>
      </c>
      <c r="AH298" s="2" t="s">
        <v>2400</v>
      </c>
      <c r="AI298" s="2" t="n">
        <v>0</v>
      </c>
    </row>
    <row r="299" customFormat="false" ht="15" hidden="false" customHeight="false" outlineLevel="0" collapsed="false">
      <c r="A299" s="2" t="n">
        <v>90896</v>
      </c>
      <c r="B299" s="2" t="s">
        <v>2401</v>
      </c>
      <c r="C299" s="2"/>
      <c r="D299" s="2" t="s">
        <v>2402</v>
      </c>
      <c r="E299" s="2" t="s">
        <v>37</v>
      </c>
      <c r="F299" s="2" t="s">
        <v>106</v>
      </c>
      <c r="G299" s="2" t="s">
        <v>39</v>
      </c>
      <c r="H299" s="2" t="s">
        <v>40</v>
      </c>
      <c r="I299" s="2" t="s">
        <v>40</v>
      </c>
      <c r="J299" s="2" t="s">
        <v>2403</v>
      </c>
      <c r="K299" s="2" t="s">
        <v>68</v>
      </c>
      <c r="L299" s="2" t="s">
        <v>43</v>
      </c>
      <c r="M299" s="2" t="s">
        <v>44</v>
      </c>
      <c r="N299" s="2"/>
      <c r="O299" s="2" t="n">
        <v>7.8830851</v>
      </c>
      <c r="P299" s="2" t="n">
        <v>98.3901079</v>
      </c>
      <c r="Q299" s="2"/>
      <c r="R299" s="2" t="s">
        <v>2404</v>
      </c>
      <c r="S299" s="2"/>
      <c r="T299" s="2"/>
      <c r="U299" s="2" t="s">
        <v>2405</v>
      </c>
      <c r="V299" s="2"/>
      <c r="W299" s="2" t="s">
        <v>2406</v>
      </c>
      <c r="X299" s="2"/>
      <c r="Y299" s="2" t="s">
        <v>48</v>
      </c>
      <c r="Z299" s="3" t="s">
        <v>2407</v>
      </c>
      <c r="AA299" s="2" t="s">
        <v>40</v>
      </c>
      <c r="AB299" s="2" t="s">
        <v>50</v>
      </c>
      <c r="AC299" s="2" t="n">
        <v>0</v>
      </c>
      <c r="AD299" s="2" t="n">
        <v>951</v>
      </c>
      <c r="AE299" s="2" t="n">
        <v>0</v>
      </c>
      <c r="AF299" s="2"/>
      <c r="AG299" s="2" t="s">
        <v>2408</v>
      </c>
      <c r="AH299" s="2" t="s">
        <v>2409</v>
      </c>
      <c r="AI299" s="2" t="n">
        <v>0</v>
      </c>
    </row>
    <row r="300" customFormat="false" ht="15" hidden="false" customHeight="false" outlineLevel="0" collapsed="false">
      <c r="A300" s="2" t="n">
        <v>91338</v>
      </c>
      <c r="B300" s="2" t="s">
        <v>2410</v>
      </c>
      <c r="C300" s="2"/>
      <c r="D300" s="2" t="s">
        <v>1945</v>
      </c>
      <c r="E300" s="2" t="s">
        <v>37</v>
      </c>
      <c r="F300" s="2" t="s">
        <v>38</v>
      </c>
      <c r="G300" s="2" t="s">
        <v>39</v>
      </c>
      <c r="H300" s="2" t="s">
        <v>40</v>
      </c>
      <c r="I300" s="2" t="s">
        <v>40</v>
      </c>
      <c r="J300" s="2" t="s">
        <v>1143</v>
      </c>
      <c r="K300" s="2" t="s">
        <v>68</v>
      </c>
      <c r="L300" s="2" t="s">
        <v>43</v>
      </c>
      <c r="M300" s="2" t="s">
        <v>44</v>
      </c>
      <c r="N300" s="2"/>
      <c r="O300" s="2" t="n">
        <v>7.8729296</v>
      </c>
      <c r="P300" s="2" t="n">
        <v>98.3906837</v>
      </c>
      <c r="Q300" s="2"/>
      <c r="R300" s="2" t="s">
        <v>2411</v>
      </c>
      <c r="S300" s="2"/>
      <c r="T300" s="2"/>
      <c r="U300" s="2" t="s">
        <v>2412</v>
      </c>
      <c r="V300" s="2"/>
      <c r="W300" s="2" t="s">
        <v>292</v>
      </c>
      <c r="X300" s="2"/>
      <c r="Y300" s="2" t="s">
        <v>48</v>
      </c>
      <c r="Z300" s="3" t="s">
        <v>2413</v>
      </c>
      <c r="AA300" s="2" t="s">
        <v>40</v>
      </c>
      <c r="AB300" s="2" t="s">
        <v>50</v>
      </c>
      <c r="AC300" s="2" t="n">
        <v>0</v>
      </c>
      <c r="AD300" s="2" t="n">
        <v>625</v>
      </c>
      <c r="AE300" s="2" t="n">
        <v>1</v>
      </c>
      <c r="AF300" s="2"/>
      <c r="AG300" s="2" t="s">
        <v>2414</v>
      </c>
      <c r="AH300" s="2" t="s">
        <v>2415</v>
      </c>
      <c r="AI300" s="2" t="n">
        <v>0</v>
      </c>
    </row>
    <row r="301" customFormat="false" ht="15" hidden="false" customHeight="false" outlineLevel="0" collapsed="false">
      <c r="A301" s="2" t="n">
        <v>91414</v>
      </c>
      <c r="B301" s="2" t="s">
        <v>2416</v>
      </c>
      <c r="C301" s="2"/>
      <c r="D301" s="2" t="s">
        <v>2417</v>
      </c>
      <c r="E301" s="2" t="s">
        <v>37</v>
      </c>
      <c r="F301" s="2" t="s">
        <v>38</v>
      </c>
      <c r="G301" s="2" t="s">
        <v>39</v>
      </c>
      <c r="H301" s="2" t="s">
        <v>40</v>
      </c>
      <c r="I301" s="2" t="s">
        <v>40</v>
      </c>
      <c r="J301" s="2" t="s">
        <v>847</v>
      </c>
      <c r="K301" s="2" t="s">
        <v>68</v>
      </c>
      <c r="L301" s="2" t="s">
        <v>43</v>
      </c>
      <c r="M301" s="2" t="s">
        <v>44</v>
      </c>
      <c r="N301" s="2"/>
      <c r="O301" s="2" t="n">
        <v>7.8894239</v>
      </c>
      <c r="P301" s="2" t="n">
        <v>98.3870215</v>
      </c>
      <c r="Q301" s="2"/>
      <c r="R301" s="2" t="s">
        <v>2418</v>
      </c>
      <c r="S301" s="2"/>
      <c r="T301" s="2"/>
      <c r="U301" s="2" t="s">
        <v>2419</v>
      </c>
      <c r="V301" s="2"/>
      <c r="W301" s="2" t="s">
        <v>1665</v>
      </c>
      <c r="X301" s="2"/>
      <c r="Y301" s="2" t="s">
        <v>48</v>
      </c>
      <c r="Z301" s="3" t="s">
        <v>2420</v>
      </c>
      <c r="AA301" s="2" t="s">
        <v>40</v>
      </c>
      <c r="AB301" s="2" t="s">
        <v>50</v>
      </c>
      <c r="AC301" s="2" t="n">
        <v>0</v>
      </c>
      <c r="AD301" s="2" t="n">
        <v>528</v>
      </c>
      <c r="AE301" s="2" t="n">
        <v>1</v>
      </c>
      <c r="AF301" s="2"/>
      <c r="AG301" s="2" t="s">
        <v>2421</v>
      </c>
      <c r="AH301" s="2" t="s">
        <v>2422</v>
      </c>
      <c r="AI301" s="2" t="n">
        <v>0</v>
      </c>
    </row>
    <row r="302" customFormat="false" ht="15" hidden="false" customHeight="false" outlineLevel="0" collapsed="false">
      <c r="A302" s="2" t="n">
        <v>91977</v>
      </c>
      <c r="B302" s="2" t="s">
        <v>2423</v>
      </c>
      <c r="C302" s="2"/>
      <c r="D302" s="2" t="s">
        <v>2388</v>
      </c>
      <c r="E302" s="2" t="s">
        <v>37</v>
      </c>
      <c r="F302" s="2" t="s">
        <v>38</v>
      </c>
      <c r="G302" s="2" t="s">
        <v>39</v>
      </c>
      <c r="H302" s="2" t="s">
        <v>40</v>
      </c>
      <c r="I302" s="2" t="s">
        <v>40</v>
      </c>
      <c r="J302" s="2" t="s">
        <v>2424</v>
      </c>
      <c r="K302" s="2" t="s">
        <v>42</v>
      </c>
      <c r="L302" s="2" t="s">
        <v>43</v>
      </c>
      <c r="M302" s="2" t="s">
        <v>44</v>
      </c>
      <c r="N302" s="2"/>
      <c r="O302" s="2" t="n">
        <v>7.8805456</v>
      </c>
      <c r="P302" s="2" t="n">
        <v>98.3777091</v>
      </c>
      <c r="Q302" s="2"/>
      <c r="R302" s="2" t="s">
        <v>2425</v>
      </c>
      <c r="S302" s="2"/>
      <c r="T302" s="2"/>
      <c r="U302" s="2" t="s">
        <v>2426</v>
      </c>
      <c r="V302" s="2"/>
      <c r="W302" s="2" t="s">
        <v>452</v>
      </c>
      <c r="X302" s="2"/>
      <c r="Y302" s="2" t="s">
        <v>48</v>
      </c>
      <c r="Z302" s="3" t="s">
        <v>2427</v>
      </c>
      <c r="AA302" s="2" t="s">
        <v>40</v>
      </c>
      <c r="AB302" s="2" t="s">
        <v>50</v>
      </c>
      <c r="AC302" s="2" t="n">
        <v>0</v>
      </c>
      <c r="AD302" s="2" t="n">
        <v>793</v>
      </c>
      <c r="AE302" s="2" t="n">
        <v>1</v>
      </c>
      <c r="AF302" s="2"/>
      <c r="AG302" s="2" t="s">
        <v>2428</v>
      </c>
      <c r="AH302" s="2" t="s">
        <v>2429</v>
      </c>
      <c r="AI302" s="2" t="n">
        <v>0</v>
      </c>
    </row>
    <row r="303" customFormat="false" ht="15" hidden="false" customHeight="false" outlineLevel="0" collapsed="false">
      <c r="A303" s="2" t="n">
        <v>90839</v>
      </c>
      <c r="B303" s="2" t="s">
        <v>2430</v>
      </c>
      <c r="C303" s="2"/>
      <c r="D303" s="2" t="s">
        <v>2388</v>
      </c>
      <c r="E303" s="2" t="s">
        <v>117</v>
      </c>
      <c r="F303" s="2" t="s">
        <v>38</v>
      </c>
      <c r="G303" s="2" t="s">
        <v>39</v>
      </c>
      <c r="H303" s="2" t="s">
        <v>40</v>
      </c>
      <c r="I303" s="2" t="s">
        <v>40</v>
      </c>
      <c r="J303" s="2" t="s">
        <v>555</v>
      </c>
      <c r="K303" s="2" t="s">
        <v>474</v>
      </c>
      <c r="L303" s="2" t="s">
        <v>43</v>
      </c>
      <c r="M303" s="2" t="s">
        <v>44</v>
      </c>
      <c r="N303" s="2"/>
      <c r="O303" s="2" t="n">
        <v>7.8255262</v>
      </c>
      <c r="P303" s="2" t="n">
        <v>98.3431244</v>
      </c>
      <c r="Q303" s="2"/>
      <c r="R303" s="2" t="s">
        <v>2431</v>
      </c>
      <c r="S303" s="2"/>
      <c r="T303" s="2"/>
      <c r="U303" s="2" t="s">
        <v>2432</v>
      </c>
      <c r="V303" s="2"/>
      <c r="W303" s="2" t="s">
        <v>443</v>
      </c>
      <c r="X303" s="2"/>
      <c r="Y303" s="2" t="s">
        <v>48</v>
      </c>
      <c r="Z303" s="3" t="s">
        <v>2433</v>
      </c>
      <c r="AA303" s="2" t="s">
        <v>40</v>
      </c>
      <c r="AB303" s="2" t="s">
        <v>50</v>
      </c>
      <c r="AC303" s="2" t="n">
        <v>0</v>
      </c>
      <c r="AD303" s="2" t="n">
        <v>591</v>
      </c>
      <c r="AE303" s="2" t="n">
        <v>0</v>
      </c>
      <c r="AF303" s="2"/>
      <c r="AG303" s="2" t="s">
        <v>2434</v>
      </c>
      <c r="AH303" s="2" t="s">
        <v>2435</v>
      </c>
      <c r="AI303" s="2" t="n">
        <v>0</v>
      </c>
    </row>
    <row r="304" customFormat="false" ht="15" hidden="false" customHeight="false" outlineLevel="0" collapsed="false">
      <c r="A304" s="2" t="n">
        <v>91466</v>
      </c>
      <c r="B304" s="2" t="s">
        <v>2436</v>
      </c>
      <c r="C304" s="2"/>
      <c r="D304" s="2" t="s">
        <v>2437</v>
      </c>
      <c r="E304" s="2" t="s">
        <v>37</v>
      </c>
      <c r="F304" s="2" t="s">
        <v>106</v>
      </c>
      <c r="G304" s="2" t="s">
        <v>39</v>
      </c>
      <c r="H304" s="2" t="s">
        <v>40</v>
      </c>
      <c r="I304" s="2" t="s">
        <v>40</v>
      </c>
      <c r="J304" s="2" t="s">
        <v>2261</v>
      </c>
      <c r="K304" s="2" t="s">
        <v>78</v>
      </c>
      <c r="L304" s="2" t="s">
        <v>43</v>
      </c>
      <c r="M304" s="2" t="s">
        <v>44</v>
      </c>
      <c r="N304" s="2"/>
      <c r="O304" s="2" t="n">
        <v>7.90832</v>
      </c>
      <c r="P304" s="2" t="n">
        <v>98.371636</v>
      </c>
      <c r="Q304" s="2"/>
      <c r="R304" s="2" t="s">
        <v>2438</v>
      </c>
      <c r="S304" s="2"/>
      <c r="T304" s="2"/>
      <c r="U304" s="2" t="s">
        <v>2439</v>
      </c>
      <c r="V304" s="2"/>
      <c r="W304" s="2" t="s">
        <v>2440</v>
      </c>
      <c r="X304" s="2"/>
      <c r="Y304" s="2" t="s">
        <v>48</v>
      </c>
      <c r="Z304" s="3" t="s">
        <v>2441</v>
      </c>
      <c r="AA304" s="2" t="s">
        <v>40</v>
      </c>
      <c r="AB304" s="2" t="s">
        <v>50</v>
      </c>
      <c r="AC304" s="2" t="n">
        <v>0</v>
      </c>
      <c r="AD304" s="2" t="n">
        <v>683</v>
      </c>
      <c r="AE304" s="2" t="n">
        <v>0</v>
      </c>
      <c r="AF304" s="2"/>
      <c r="AG304" s="2" t="s">
        <v>2442</v>
      </c>
      <c r="AH304" s="2" t="s">
        <v>2443</v>
      </c>
      <c r="AI304" s="2" t="n">
        <v>0</v>
      </c>
    </row>
    <row r="305" customFormat="false" ht="15" hidden="false" customHeight="false" outlineLevel="0" collapsed="false">
      <c r="A305" s="2" t="n">
        <v>90803</v>
      </c>
      <c r="B305" s="2" t="s">
        <v>2444</v>
      </c>
      <c r="C305" s="2"/>
      <c r="D305" s="2" t="s">
        <v>2151</v>
      </c>
      <c r="E305" s="2" t="s">
        <v>55</v>
      </c>
      <c r="F305" s="2" t="s">
        <v>106</v>
      </c>
      <c r="G305" s="2" t="s">
        <v>39</v>
      </c>
      <c r="H305" s="2" t="s">
        <v>40</v>
      </c>
      <c r="I305" s="2" t="s">
        <v>40</v>
      </c>
      <c r="J305" s="2" t="s">
        <v>1736</v>
      </c>
      <c r="K305" s="2" t="s">
        <v>68</v>
      </c>
      <c r="L305" s="2" t="s">
        <v>43</v>
      </c>
      <c r="M305" s="2" t="s">
        <v>44</v>
      </c>
      <c r="N305" s="2"/>
      <c r="O305" s="2" t="n">
        <v>7.8836764</v>
      </c>
      <c r="P305" s="2" t="n">
        <v>98.3879528</v>
      </c>
      <c r="Q305" s="2" t="s">
        <v>2445</v>
      </c>
      <c r="R305" s="2"/>
      <c r="S305" s="2"/>
      <c r="T305" s="2"/>
      <c r="U305" s="2" t="s">
        <v>2446</v>
      </c>
      <c r="V305" s="2"/>
      <c r="W305" s="2" t="s">
        <v>203</v>
      </c>
      <c r="X305" s="2"/>
      <c r="Y305" s="2" t="s">
        <v>48</v>
      </c>
      <c r="Z305" s="3" t="s">
        <v>2447</v>
      </c>
      <c r="AA305" s="2" t="s">
        <v>40</v>
      </c>
      <c r="AB305" s="2" t="s">
        <v>50</v>
      </c>
      <c r="AC305" s="2" t="n">
        <v>0</v>
      </c>
      <c r="AD305" s="2" t="n">
        <v>1149</v>
      </c>
      <c r="AE305" s="2" t="n">
        <v>1</v>
      </c>
      <c r="AF305" s="2"/>
      <c r="AG305" s="2" t="s">
        <v>2448</v>
      </c>
      <c r="AH305" s="2" t="s">
        <v>2449</v>
      </c>
      <c r="AI305" s="2" t="n">
        <v>0</v>
      </c>
    </row>
    <row r="306" customFormat="false" ht="15" hidden="false" customHeight="false" outlineLevel="0" collapsed="false">
      <c r="A306" s="2" t="n">
        <v>91758</v>
      </c>
      <c r="B306" s="2" t="s">
        <v>2450</v>
      </c>
      <c r="C306" s="2"/>
      <c r="D306" s="2" t="s">
        <v>2388</v>
      </c>
      <c r="E306" s="2" t="s">
        <v>37</v>
      </c>
      <c r="F306" s="2" t="s">
        <v>106</v>
      </c>
      <c r="G306" s="2" t="s">
        <v>39</v>
      </c>
      <c r="H306" s="2" t="s">
        <v>40</v>
      </c>
      <c r="I306" s="2" t="s">
        <v>40</v>
      </c>
      <c r="J306" s="2" t="s">
        <v>696</v>
      </c>
      <c r="K306" s="2" t="s">
        <v>42</v>
      </c>
      <c r="L306" s="2" t="s">
        <v>43</v>
      </c>
      <c r="M306" s="2" t="s">
        <v>44</v>
      </c>
      <c r="N306" s="2"/>
      <c r="O306" s="2" t="n">
        <v>7.880462</v>
      </c>
      <c r="P306" s="2" t="n">
        <v>98.373142</v>
      </c>
      <c r="Q306" s="2"/>
      <c r="R306" s="2" t="s">
        <v>2451</v>
      </c>
      <c r="S306" s="2"/>
      <c r="T306" s="2"/>
      <c r="U306" s="2" t="s">
        <v>2452</v>
      </c>
      <c r="V306" s="2"/>
      <c r="W306" s="2" t="s">
        <v>2453</v>
      </c>
      <c r="X306" s="2"/>
      <c r="Y306" s="2" t="s">
        <v>48</v>
      </c>
      <c r="Z306" s="3" t="s">
        <v>2454</v>
      </c>
      <c r="AA306" s="2" t="s">
        <v>40</v>
      </c>
      <c r="AB306" s="2" t="s">
        <v>50</v>
      </c>
      <c r="AC306" s="2" t="n">
        <v>0</v>
      </c>
      <c r="AD306" s="2" t="n">
        <v>644</v>
      </c>
      <c r="AE306" s="2" t="n">
        <v>1</v>
      </c>
      <c r="AF306" s="2"/>
      <c r="AG306" s="2" t="s">
        <v>2455</v>
      </c>
      <c r="AH306" s="2" t="s">
        <v>2456</v>
      </c>
      <c r="AI306" s="2" t="n">
        <v>0</v>
      </c>
    </row>
    <row r="307" customFormat="false" ht="15" hidden="false" customHeight="false" outlineLevel="0" collapsed="false">
      <c r="A307" s="2" t="n">
        <v>91471</v>
      </c>
      <c r="B307" s="2" t="s">
        <v>2457</v>
      </c>
      <c r="C307" s="2"/>
      <c r="D307" s="2" t="s">
        <v>2458</v>
      </c>
      <c r="E307" s="2" t="s">
        <v>37</v>
      </c>
      <c r="F307" s="2" t="s">
        <v>106</v>
      </c>
      <c r="G307" s="2" t="s">
        <v>39</v>
      </c>
      <c r="H307" s="2" t="s">
        <v>40</v>
      </c>
      <c r="I307" s="2" t="s">
        <v>40</v>
      </c>
      <c r="J307" s="2" t="s">
        <v>1019</v>
      </c>
      <c r="K307" s="2" t="s">
        <v>1020</v>
      </c>
      <c r="L307" s="2" t="s">
        <v>58</v>
      </c>
      <c r="M307" s="2" t="s">
        <v>44</v>
      </c>
      <c r="N307" s="2"/>
      <c r="O307" s="2" t="n">
        <v>8.023141</v>
      </c>
      <c r="P307" s="2" t="n">
        <v>98.32741</v>
      </c>
      <c r="Q307" s="2"/>
      <c r="R307" s="2" t="s">
        <v>2459</v>
      </c>
      <c r="S307" s="2"/>
      <c r="T307" s="2"/>
      <c r="U307" s="2" t="s">
        <v>2460</v>
      </c>
      <c r="V307" s="2"/>
      <c r="W307" s="2" t="s">
        <v>47</v>
      </c>
      <c r="X307" s="2"/>
      <c r="Y307" s="2" t="s">
        <v>48</v>
      </c>
      <c r="Z307" s="3" t="s">
        <v>2461</v>
      </c>
      <c r="AA307" s="2" t="s">
        <v>40</v>
      </c>
      <c r="AB307" s="2" t="s">
        <v>50</v>
      </c>
      <c r="AC307" s="2" t="n">
        <v>0</v>
      </c>
      <c r="AD307" s="2" t="n">
        <v>1129</v>
      </c>
      <c r="AE307" s="2" t="n">
        <v>0</v>
      </c>
      <c r="AF307" s="2"/>
      <c r="AG307" s="2" t="s">
        <v>2462</v>
      </c>
      <c r="AH307" s="2" t="s">
        <v>2463</v>
      </c>
      <c r="AI307" s="2" t="n">
        <v>0</v>
      </c>
    </row>
    <row r="308" customFormat="false" ht="15" hidden="false" customHeight="false" outlineLevel="0" collapsed="false">
      <c r="A308" s="2" t="n">
        <v>91943</v>
      </c>
      <c r="B308" s="2" t="s">
        <v>2464</v>
      </c>
      <c r="C308" s="2"/>
      <c r="D308" s="2" t="s">
        <v>104</v>
      </c>
      <c r="E308" s="2" t="s">
        <v>37</v>
      </c>
      <c r="F308" s="2" t="s">
        <v>106</v>
      </c>
      <c r="G308" s="2" t="s">
        <v>39</v>
      </c>
      <c r="H308" s="2" t="s">
        <v>40</v>
      </c>
      <c r="I308" s="2" t="s">
        <v>40</v>
      </c>
      <c r="J308" s="2" t="s">
        <v>2465</v>
      </c>
      <c r="K308" s="2" t="s">
        <v>131</v>
      </c>
      <c r="L308" s="2" t="s">
        <v>58</v>
      </c>
      <c r="M308" s="2" t="s">
        <v>44</v>
      </c>
      <c r="N308" s="2"/>
      <c r="O308" s="2" t="n">
        <v>8.091893</v>
      </c>
      <c r="P308" s="2" t="n">
        <v>98.306653</v>
      </c>
      <c r="Q308" s="2" t="s">
        <v>2466</v>
      </c>
      <c r="R308" s="2"/>
      <c r="S308" s="2"/>
      <c r="T308" s="2"/>
      <c r="U308" s="2" t="s">
        <v>2467</v>
      </c>
      <c r="V308" s="2"/>
      <c r="W308" s="2" t="s">
        <v>292</v>
      </c>
      <c r="X308" s="2"/>
      <c r="Y308" s="2" t="s">
        <v>48</v>
      </c>
      <c r="Z308" s="3" t="s">
        <v>2468</v>
      </c>
      <c r="AA308" s="2" t="s">
        <v>40</v>
      </c>
      <c r="AB308" s="2" t="s">
        <v>50</v>
      </c>
      <c r="AC308" s="2" t="n">
        <v>0</v>
      </c>
      <c r="AD308" s="2" t="n">
        <v>520</v>
      </c>
      <c r="AE308" s="2" t="n">
        <v>0</v>
      </c>
      <c r="AF308" s="2"/>
      <c r="AG308" s="2" t="s">
        <v>2469</v>
      </c>
      <c r="AH308" s="2" t="s">
        <v>2470</v>
      </c>
      <c r="AI308" s="2" t="n">
        <v>0</v>
      </c>
    </row>
    <row r="309" customFormat="false" ht="15" hidden="false" customHeight="false" outlineLevel="0" collapsed="false">
      <c r="A309" s="2" t="n">
        <v>90805</v>
      </c>
      <c r="B309" s="2" t="s">
        <v>2471</v>
      </c>
      <c r="C309" s="2"/>
      <c r="D309" s="2" t="s">
        <v>236</v>
      </c>
      <c r="E309" s="2" t="s">
        <v>55</v>
      </c>
      <c r="F309" s="2" t="s">
        <v>237</v>
      </c>
      <c r="G309" s="2" t="s">
        <v>39</v>
      </c>
      <c r="H309" s="2" t="s">
        <v>40</v>
      </c>
      <c r="I309" s="2" t="s">
        <v>40</v>
      </c>
      <c r="J309" s="2" t="s">
        <v>831</v>
      </c>
      <c r="K309" s="2" t="s">
        <v>78</v>
      </c>
      <c r="L309" s="2" t="s">
        <v>43</v>
      </c>
      <c r="M309" s="2" t="s">
        <v>44</v>
      </c>
      <c r="N309" s="2"/>
      <c r="O309" s="2" t="n">
        <v>7.892803</v>
      </c>
      <c r="P309" s="2" t="n">
        <v>98.380299</v>
      </c>
      <c r="Q309" s="2"/>
      <c r="R309" s="2" t="s">
        <v>2472</v>
      </c>
      <c r="S309" s="2"/>
      <c r="T309" s="2"/>
      <c r="U309" s="2" t="s">
        <v>2473</v>
      </c>
      <c r="V309" s="2"/>
      <c r="W309" s="2" t="s">
        <v>292</v>
      </c>
      <c r="X309" s="2"/>
      <c r="Y309" s="2" t="s">
        <v>48</v>
      </c>
      <c r="Z309" s="3" t="s">
        <v>2474</v>
      </c>
      <c r="AA309" s="2" t="s">
        <v>40</v>
      </c>
      <c r="AB309" s="2" t="s">
        <v>50</v>
      </c>
      <c r="AC309" s="2" t="n">
        <v>0</v>
      </c>
      <c r="AD309" s="2" t="n">
        <v>864</v>
      </c>
      <c r="AE309" s="2" t="n">
        <v>0</v>
      </c>
      <c r="AF309" s="2"/>
      <c r="AG309" s="2" t="s">
        <v>2475</v>
      </c>
      <c r="AH309" s="2" t="s">
        <v>2476</v>
      </c>
      <c r="AI309" s="2" t="n">
        <v>0</v>
      </c>
    </row>
    <row r="310" customFormat="false" ht="15" hidden="false" customHeight="false" outlineLevel="0" collapsed="false">
      <c r="A310" s="2" t="n">
        <v>91982</v>
      </c>
      <c r="B310" s="2" t="s">
        <v>2477</v>
      </c>
      <c r="C310" s="2"/>
      <c r="D310" s="2" t="s">
        <v>933</v>
      </c>
      <c r="E310" s="2" t="s">
        <v>117</v>
      </c>
      <c r="F310" s="2" t="s">
        <v>118</v>
      </c>
      <c r="G310" s="2" t="s">
        <v>39</v>
      </c>
      <c r="H310" s="2" t="s">
        <v>40</v>
      </c>
      <c r="I310" s="2" t="s">
        <v>40</v>
      </c>
      <c r="J310" s="2" t="s">
        <v>1898</v>
      </c>
      <c r="K310" s="2" t="s">
        <v>68</v>
      </c>
      <c r="L310" s="2" t="s">
        <v>43</v>
      </c>
      <c r="M310" s="2" t="s">
        <v>44</v>
      </c>
      <c r="N310" s="2"/>
      <c r="O310" s="2" t="n">
        <v>7.902279</v>
      </c>
      <c r="P310" s="2" t="n">
        <v>98.3789276</v>
      </c>
      <c r="Q310" s="2"/>
      <c r="R310" s="2" t="s">
        <v>2478</v>
      </c>
      <c r="S310" s="2"/>
      <c r="T310" s="2"/>
      <c r="U310" s="2" t="s">
        <v>2479</v>
      </c>
      <c r="V310" s="2"/>
      <c r="W310" s="2" t="s">
        <v>249</v>
      </c>
      <c r="X310" s="2"/>
      <c r="Y310" s="2" t="s">
        <v>48</v>
      </c>
      <c r="Z310" s="3" t="s">
        <v>2480</v>
      </c>
      <c r="AA310" s="2" t="s">
        <v>40</v>
      </c>
      <c r="AB310" s="2" t="s">
        <v>50</v>
      </c>
      <c r="AC310" s="2" t="n">
        <v>0</v>
      </c>
      <c r="AD310" s="2" t="n">
        <v>847</v>
      </c>
      <c r="AE310" s="2" t="n">
        <v>1</v>
      </c>
      <c r="AF310" s="2"/>
      <c r="AG310" s="2" t="s">
        <v>2481</v>
      </c>
      <c r="AH310" s="2" t="s">
        <v>2482</v>
      </c>
      <c r="AI310" s="2" t="n">
        <v>0</v>
      </c>
    </row>
    <row r="311" customFormat="false" ht="15" hidden="false" customHeight="false" outlineLevel="0" collapsed="false">
      <c r="A311" s="2" t="n">
        <v>91756</v>
      </c>
      <c r="B311" s="2" t="s">
        <v>2483</v>
      </c>
      <c r="C311" s="2"/>
      <c r="D311" s="2" t="s">
        <v>2484</v>
      </c>
      <c r="E311" s="2" t="s">
        <v>117</v>
      </c>
      <c r="F311" s="2" t="s">
        <v>38</v>
      </c>
      <c r="G311" s="2" t="s">
        <v>39</v>
      </c>
      <c r="H311" s="2" t="s">
        <v>40</v>
      </c>
      <c r="I311" s="2" t="s">
        <v>40</v>
      </c>
      <c r="J311" s="2" t="s">
        <v>2424</v>
      </c>
      <c r="K311" s="2" t="s">
        <v>42</v>
      </c>
      <c r="L311" s="2" t="s">
        <v>43</v>
      </c>
      <c r="M311" s="2" t="s">
        <v>44</v>
      </c>
      <c r="N311" s="2"/>
      <c r="O311" s="2" t="n">
        <v>7.8805526</v>
      </c>
      <c r="P311" s="2" t="n">
        <v>98.3773422</v>
      </c>
      <c r="Q311" s="2"/>
      <c r="R311" s="2" t="s">
        <v>2485</v>
      </c>
      <c r="S311" s="2"/>
      <c r="T311" s="2"/>
      <c r="U311" s="2" t="s">
        <v>2486</v>
      </c>
      <c r="V311" s="2"/>
      <c r="W311" s="2" t="s">
        <v>2487</v>
      </c>
      <c r="X311" s="2"/>
      <c r="Y311" s="2" t="s">
        <v>48</v>
      </c>
      <c r="Z311" s="3" t="s">
        <v>2488</v>
      </c>
      <c r="AA311" s="2" t="s">
        <v>40</v>
      </c>
      <c r="AB311" s="2" t="s">
        <v>50</v>
      </c>
      <c r="AC311" s="2" t="n">
        <v>0</v>
      </c>
      <c r="AD311" s="2" t="n">
        <v>665</v>
      </c>
      <c r="AE311" s="2" t="n">
        <v>1</v>
      </c>
      <c r="AF311" s="2"/>
      <c r="AG311" s="2" t="s">
        <v>2489</v>
      </c>
      <c r="AH311" s="2" t="s">
        <v>2490</v>
      </c>
      <c r="AI311" s="2" t="n">
        <v>0</v>
      </c>
    </row>
    <row r="312" customFormat="false" ht="15" hidden="false" customHeight="false" outlineLevel="0" collapsed="false">
      <c r="A312" s="2" t="n">
        <v>91764</v>
      </c>
      <c r="B312" s="2" t="s">
        <v>2491</v>
      </c>
      <c r="C312" s="2"/>
      <c r="D312" s="2" t="s">
        <v>2492</v>
      </c>
      <c r="E312" s="2" t="s">
        <v>37</v>
      </c>
      <c r="F312" s="2" t="s">
        <v>38</v>
      </c>
      <c r="G312" s="2" t="s">
        <v>39</v>
      </c>
      <c r="H312" s="2" t="s">
        <v>40</v>
      </c>
      <c r="I312" s="2" t="s">
        <v>40</v>
      </c>
      <c r="J312" s="2" t="s">
        <v>2493</v>
      </c>
      <c r="K312" s="2" t="s">
        <v>78</v>
      </c>
      <c r="L312" s="2" t="s">
        <v>43</v>
      </c>
      <c r="M312" s="2" t="s">
        <v>44</v>
      </c>
      <c r="N312" s="2"/>
      <c r="O312" s="2" t="n">
        <v>7.915756</v>
      </c>
      <c r="P312" s="2" t="n">
        <v>98.371361</v>
      </c>
      <c r="Q312" s="2"/>
      <c r="R312" s="2" t="s">
        <v>2494</v>
      </c>
      <c r="S312" s="2"/>
      <c r="T312" s="2"/>
      <c r="U312" s="2" t="s">
        <v>2495</v>
      </c>
      <c r="V312" s="2"/>
      <c r="W312" s="2" t="s">
        <v>952</v>
      </c>
      <c r="X312" s="2"/>
      <c r="Y312" s="2" t="s">
        <v>48</v>
      </c>
      <c r="Z312" s="3" t="s">
        <v>2496</v>
      </c>
      <c r="AA312" s="2" t="s">
        <v>40</v>
      </c>
      <c r="AB312" s="2" t="s">
        <v>50</v>
      </c>
      <c r="AC312" s="2" t="n">
        <v>0</v>
      </c>
      <c r="AD312" s="2" t="n">
        <v>779</v>
      </c>
      <c r="AE312" s="2" t="n">
        <v>0</v>
      </c>
      <c r="AF312" s="2"/>
      <c r="AG312" s="2" t="s">
        <v>2497</v>
      </c>
      <c r="AH312" s="2" t="s">
        <v>2498</v>
      </c>
      <c r="AI312" s="2" t="n">
        <v>0</v>
      </c>
    </row>
    <row r="313" customFormat="false" ht="15" hidden="false" customHeight="false" outlineLevel="0" collapsed="false">
      <c r="A313" s="2" t="n">
        <v>91418</v>
      </c>
      <c r="B313" s="2" t="s">
        <v>2499</v>
      </c>
      <c r="C313" s="2"/>
      <c r="D313" s="2" t="s">
        <v>236</v>
      </c>
      <c r="E313" s="2" t="s">
        <v>37</v>
      </c>
      <c r="F313" s="2" t="s">
        <v>106</v>
      </c>
      <c r="G313" s="2" t="s">
        <v>39</v>
      </c>
      <c r="H313" s="2" t="s">
        <v>40</v>
      </c>
      <c r="I313" s="2" t="s">
        <v>40</v>
      </c>
      <c r="J313" s="2" t="s">
        <v>719</v>
      </c>
      <c r="K313" s="2" t="s">
        <v>68</v>
      </c>
      <c r="L313" s="2" t="s">
        <v>43</v>
      </c>
      <c r="M313" s="2" t="s">
        <v>44</v>
      </c>
      <c r="N313" s="2"/>
      <c r="O313" s="2" t="n">
        <v>7.8848247</v>
      </c>
      <c r="P313" s="2" t="n">
        <v>98.3978327</v>
      </c>
      <c r="Q313" s="2" t="s">
        <v>2500</v>
      </c>
      <c r="R313" s="2"/>
      <c r="S313" s="2"/>
      <c r="T313" s="2"/>
      <c r="U313" s="2" t="s">
        <v>2501</v>
      </c>
      <c r="V313" s="2"/>
      <c r="W313" s="2" t="s">
        <v>2502</v>
      </c>
      <c r="X313" s="2"/>
      <c r="Y313" s="2" t="s">
        <v>48</v>
      </c>
      <c r="Z313" s="3" t="s">
        <v>2503</v>
      </c>
      <c r="AA313" s="2" t="s">
        <v>40</v>
      </c>
      <c r="AB313" s="2" t="s">
        <v>50</v>
      </c>
      <c r="AC313" s="2" t="n">
        <v>0</v>
      </c>
      <c r="AD313" s="2" t="n">
        <v>555</v>
      </c>
      <c r="AE313" s="2" t="n">
        <v>0</v>
      </c>
      <c r="AF313" s="2"/>
      <c r="AG313" s="2" t="s">
        <v>2504</v>
      </c>
      <c r="AH313" s="2" t="s">
        <v>2505</v>
      </c>
      <c r="AI313" s="2" t="n">
        <v>0</v>
      </c>
    </row>
    <row r="314" customFormat="false" ht="15" hidden="false" customHeight="false" outlineLevel="0" collapsed="false">
      <c r="A314" s="2" t="n">
        <v>91772</v>
      </c>
      <c r="B314" s="2" t="s">
        <v>2506</v>
      </c>
      <c r="C314" s="2"/>
      <c r="D314" s="2" t="s">
        <v>670</v>
      </c>
      <c r="E314" s="2" t="s">
        <v>105</v>
      </c>
      <c r="F314" s="2" t="s">
        <v>106</v>
      </c>
      <c r="G314" s="2" t="s">
        <v>39</v>
      </c>
      <c r="H314" s="2" t="s">
        <v>40</v>
      </c>
      <c r="I314" s="2" t="s">
        <v>40</v>
      </c>
      <c r="J314" s="2" t="s">
        <v>632</v>
      </c>
      <c r="K314" s="2" t="s">
        <v>88</v>
      </c>
      <c r="L314" s="2" t="s">
        <v>43</v>
      </c>
      <c r="M314" s="2" t="s">
        <v>44</v>
      </c>
      <c r="N314" s="2"/>
      <c r="O314" s="2" t="n">
        <v>7.7745877</v>
      </c>
      <c r="P314" s="2" t="n">
        <v>98.3262684</v>
      </c>
      <c r="Q314" s="2"/>
      <c r="R314" s="2" t="s">
        <v>2507</v>
      </c>
      <c r="S314" s="2"/>
      <c r="T314" s="2"/>
      <c r="U314" s="2" t="s">
        <v>2508</v>
      </c>
      <c r="V314" s="2"/>
      <c r="W314" s="2" t="s">
        <v>485</v>
      </c>
      <c r="X314" s="2"/>
      <c r="Y314" s="2" t="s">
        <v>48</v>
      </c>
      <c r="Z314" s="3" t="s">
        <v>2509</v>
      </c>
      <c r="AA314" s="2" t="s">
        <v>40</v>
      </c>
      <c r="AB314" s="2" t="s">
        <v>50</v>
      </c>
      <c r="AC314" s="2" t="n">
        <v>0</v>
      </c>
      <c r="AD314" s="2" t="n">
        <v>645</v>
      </c>
      <c r="AE314" s="2" t="n">
        <v>0</v>
      </c>
      <c r="AF314" s="2"/>
      <c r="AG314" s="2" t="s">
        <v>2510</v>
      </c>
      <c r="AH314" s="2" t="s">
        <v>2511</v>
      </c>
      <c r="AI314" s="2" t="n">
        <v>0</v>
      </c>
    </row>
    <row r="315" customFormat="false" ht="15" hidden="false" customHeight="false" outlineLevel="0" collapsed="false">
      <c r="A315" s="2" t="n">
        <v>91381</v>
      </c>
      <c r="B315" s="2" t="s">
        <v>2512</v>
      </c>
      <c r="C315" s="2"/>
      <c r="D315" s="2" t="s">
        <v>2513</v>
      </c>
      <c r="E315" s="2" t="s">
        <v>117</v>
      </c>
      <c r="F315" s="2" t="s">
        <v>38</v>
      </c>
      <c r="G315" s="2" t="s">
        <v>39</v>
      </c>
      <c r="H315" s="2" t="s">
        <v>40</v>
      </c>
      <c r="I315" s="2" t="s">
        <v>40</v>
      </c>
      <c r="J315" s="2" t="s">
        <v>564</v>
      </c>
      <c r="K315" s="2" t="s">
        <v>109</v>
      </c>
      <c r="L315" s="2" t="s">
        <v>109</v>
      </c>
      <c r="M315" s="2" t="s">
        <v>44</v>
      </c>
      <c r="N315" s="2"/>
      <c r="O315" s="2" t="n">
        <v>7.909328</v>
      </c>
      <c r="P315" s="2" t="n">
        <v>98.347933</v>
      </c>
      <c r="Q315" s="2"/>
      <c r="R315" s="2" t="s">
        <v>2514</v>
      </c>
      <c r="S315" s="2"/>
      <c r="T315" s="2"/>
      <c r="U315" s="2" t="s">
        <v>2515</v>
      </c>
      <c r="V315" s="2"/>
      <c r="W315" s="2" t="s">
        <v>1291</v>
      </c>
      <c r="X315" s="2"/>
      <c r="Y315" s="2" t="s">
        <v>48</v>
      </c>
      <c r="Z315" s="3" t="s">
        <v>2516</v>
      </c>
      <c r="AA315" s="2" t="s">
        <v>40</v>
      </c>
      <c r="AB315" s="2" t="s">
        <v>50</v>
      </c>
      <c r="AC315" s="2" t="n">
        <v>0</v>
      </c>
      <c r="AD315" s="2" t="n">
        <v>1056</v>
      </c>
      <c r="AE315" s="2" t="n">
        <v>0</v>
      </c>
      <c r="AF315" s="2"/>
      <c r="AG315" s="2" t="s">
        <v>2517</v>
      </c>
      <c r="AH315" s="2" t="s">
        <v>2518</v>
      </c>
      <c r="AI315" s="2" t="n">
        <v>0</v>
      </c>
    </row>
    <row r="316" customFormat="false" ht="15" hidden="false" customHeight="false" outlineLevel="0" collapsed="false">
      <c r="A316" s="2" t="n">
        <v>91476</v>
      </c>
      <c r="B316" s="2" t="s">
        <v>2519</v>
      </c>
      <c r="C316" s="2"/>
      <c r="D316" s="2" t="s">
        <v>572</v>
      </c>
      <c r="E316" s="2" t="s">
        <v>117</v>
      </c>
      <c r="F316" s="2" t="s">
        <v>38</v>
      </c>
      <c r="G316" s="2" t="s">
        <v>39</v>
      </c>
      <c r="H316" s="2" t="s">
        <v>40</v>
      </c>
      <c r="I316" s="2" t="s">
        <v>40</v>
      </c>
      <c r="J316" s="2" t="s">
        <v>2520</v>
      </c>
      <c r="K316" s="2" t="s">
        <v>42</v>
      </c>
      <c r="L316" s="2" t="s">
        <v>43</v>
      </c>
      <c r="M316" s="2" t="s">
        <v>44</v>
      </c>
      <c r="N316" s="2"/>
      <c r="O316" s="2" t="n">
        <v>7.8866409</v>
      </c>
      <c r="P316" s="2" t="n">
        <v>98.3824226</v>
      </c>
      <c r="Q316" s="2"/>
      <c r="R316" s="2" t="s">
        <v>2521</v>
      </c>
      <c r="S316" s="2"/>
      <c r="T316" s="2"/>
      <c r="U316" s="2" t="s">
        <v>2522</v>
      </c>
      <c r="V316" s="2"/>
      <c r="W316" s="2" t="s">
        <v>2523</v>
      </c>
      <c r="X316" s="2"/>
      <c r="Y316" s="2" t="s">
        <v>48</v>
      </c>
      <c r="Z316" s="3" t="s">
        <v>2524</v>
      </c>
      <c r="AA316" s="2" t="s">
        <v>40</v>
      </c>
      <c r="AB316" s="2" t="s">
        <v>50</v>
      </c>
      <c r="AC316" s="2" t="n">
        <v>0</v>
      </c>
      <c r="AD316" s="2" t="n">
        <v>838</v>
      </c>
      <c r="AE316" s="2" t="n">
        <v>1</v>
      </c>
      <c r="AF316" s="2"/>
      <c r="AG316" s="2" t="s">
        <v>2525</v>
      </c>
      <c r="AH316" s="2" t="s">
        <v>2526</v>
      </c>
      <c r="AI316" s="2" t="n">
        <v>0</v>
      </c>
    </row>
    <row r="317" customFormat="false" ht="15" hidden="false" customHeight="false" outlineLevel="0" collapsed="false">
      <c r="A317" s="2" t="n">
        <v>91765</v>
      </c>
      <c r="B317" s="2" t="s">
        <v>2527</v>
      </c>
      <c r="C317" s="2"/>
      <c r="D317" s="2" t="s">
        <v>236</v>
      </c>
      <c r="E317" s="2" t="s">
        <v>117</v>
      </c>
      <c r="F317" s="2" t="s">
        <v>38</v>
      </c>
      <c r="G317" s="2" t="s">
        <v>39</v>
      </c>
      <c r="H317" s="2" t="s">
        <v>40</v>
      </c>
      <c r="I317" s="2" t="s">
        <v>40</v>
      </c>
      <c r="J317" s="2" t="s">
        <v>289</v>
      </c>
      <c r="K317" s="2" t="s">
        <v>109</v>
      </c>
      <c r="L317" s="2" t="s">
        <v>109</v>
      </c>
      <c r="M317" s="2" t="s">
        <v>44</v>
      </c>
      <c r="N317" s="2"/>
      <c r="O317" s="2" t="n">
        <v>7.898891</v>
      </c>
      <c r="P317" s="2" t="n">
        <v>98.351517</v>
      </c>
      <c r="Q317" s="2"/>
      <c r="R317" s="2" t="s">
        <v>2528</v>
      </c>
      <c r="S317" s="2"/>
      <c r="T317" s="2"/>
      <c r="U317" s="2" t="s">
        <v>2529</v>
      </c>
      <c r="V317" s="2"/>
      <c r="W317" s="2" t="s">
        <v>161</v>
      </c>
      <c r="X317" s="2"/>
      <c r="Y317" s="2" t="s">
        <v>48</v>
      </c>
      <c r="Z317" s="3" t="s">
        <v>2530</v>
      </c>
      <c r="AA317" s="2" t="s">
        <v>40</v>
      </c>
      <c r="AB317" s="2" t="s">
        <v>50</v>
      </c>
      <c r="AC317" s="2" t="n">
        <v>0</v>
      </c>
      <c r="AD317" s="2" t="n">
        <v>550</v>
      </c>
      <c r="AE317" s="2" t="n">
        <v>0</v>
      </c>
      <c r="AF317" s="2"/>
      <c r="AG317" s="2" t="s">
        <v>2531</v>
      </c>
      <c r="AH317" s="2" t="s">
        <v>2532</v>
      </c>
      <c r="AI317" s="2" t="n">
        <v>0</v>
      </c>
    </row>
    <row r="318" customFormat="false" ht="15" hidden="false" customHeight="false" outlineLevel="0" collapsed="false">
      <c r="A318" s="2" t="n">
        <v>90872</v>
      </c>
      <c r="B318" s="2" t="s">
        <v>2533</v>
      </c>
      <c r="C318" s="2"/>
      <c r="D318" s="2" t="s">
        <v>76</v>
      </c>
      <c r="E318" s="2" t="s">
        <v>117</v>
      </c>
      <c r="F318" s="2" t="s">
        <v>106</v>
      </c>
      <c r="G318" s="2" t="s">
        <v>39</v>
      </c>
      <c r="H318" s="2" t="s">
        <v>40</v>
      </c>
      <c r="I318" s="2" t="s">
        <v>40</v>
      </c>
      <c r="J318" s="2" t="s">
        <v>1708</v>
      </c>
      <c r="K318" s="2" t="s">
        <v>68</v>
      </c>
      <c r="L318" s="2" t="s">
        <v>43</v>
      </c>
      <c r="M318" s="2" t="s">
        <v>44</v>
      </c>
      <c r="N318" s="2"/>
      <c r="O318" s="2" t="n">
        <v>7.893574</v>
      </c>
      <c r="P318" s="2" t="n">
        <v>98.385884</v>
      </c>
      <c r="Q318" s="2"/>
      <c r="R318" s="2" t="s">
        <v>2534</v>
      </c>
      <c r="S318" s="2"/>
      <c r="T318" s="2"/>
      <c r="U318" s="2" t="s">
        <v>2535</v>
      </c>
      <c r="V318" s="2"/>
      <c r="W318" s="2" t="s">
        <v>2383</v>
      </c>
      <c r="X318" s="2"/>
      <c r="Y318" s="2" t="s">
        <v>48</v>
      </c>
      <c r="Z318" s="3" t="s">
        <v>2536</v>
      </c>
      <c r="AA318" s="2" t="s">
        <v>40</v>
      </c>
      <c r="AB318" s="2" t="s">
        <v>50</v>
      </c>
      <c r="AC318" s="2" t="n">
        <v>0</v>
      </c>
      <c r="AD318" s="2" t="n">
        <v>1001</v>
      </c>
      <c r="AE318" s="2" t="n">
        <v>0</v>
      </c>
      <c r="AF318" s="2"/>
      <c r="AG318" s="2" t="s">
        <v>2537</v>
      </c>
      <c r="AH318" s="2" t="s">
        <v>2538</v>
      </c>
      <c r="AI318" s="2" t="n">
        <v>0</v>
      </c>
    </row>
    <row r="319" customFormat="false" ht="15" hidden="false" customHeight="false" outlineLevel="0" collapsed="false">
      <c r="A319" s="2" t="n">
        <v>92088</v>
      </c>
      <c r="B319" s="2" t="s">
        <v>2539</v>
      </c>
      <c r="C319" s="2"/>
      <c r="D319" s="2" t="s">
        <v>1945</v>
      </c>
      <c r="E319" s="2" t="s">
        <v>117</v>
      </c>
      <c r="F319" s="2" t="s">
        <v>38</v>
      </c>
      <c r="G319" s="2" t="s">
        <v>39</v>
      </c>
      <c r="H319" s="2" t="s">
        <v>40</v>
      </c>
      <c r="I319" s="2" t="s">
        <v>40</v>
      </c>
      <c r="J319" s="2" t="s">
        <v>2540</v>
      </c>
      <c r="K319" s="2" t="s">
        <v>78</v>
      </c>
      <c r="L319" s="2" t="s">
        <v>43</v>
      </c>
      <c r="M319" s="2" t="s">
        <v>44</v>
      </c>
      <c r="N319" s="2"/>
      <c r="O319" s="2" t="n">
        <v>7.9076551</v>
      </c>
      <c r="P319" s="2" t="n">
        <v>98.4018598</v>
      </c>
      <c r="Q319" s="2"/>
      <c r="R319" s="2" t="s">
        <v>2541</v>
      </c>
      <c r="S319" s="2"/>
      <c r="T319" s="2"/>
      <c r="U319" s="2" t="s">
        <v>2542</v>
      </c>
      <c r="V319" s="2"/>
      <c r="W319" s="2" t="s">
        <v>2543</v>
      </c>
      <c r="X319" s="2"/>
      <c r="Y319" s="2" t="s">
        <v>48</v>
      </c>
      <c r="Z319" s="3" t="s">
        <v>2544</v>
      </c>
      <c r="AA319" s="2" t="s">
        <v>40</v>
      </c>
      <c r="AB319" s="2" t="s">
        <v>50</v>
      </c>
      <c r="AC319" s="2" t="n">
        <v>0</v>
      </c>
      <c r="AD319" s="2" t="n">
        <v>589</v>
      </c>
      <c r="AE319" s="2" t="n">
        <v>0</v>
      </c>
      <c r="AF319" s="2"/>
      <c r="AG319" s="2" t="s">
        <v>2545</v>
      </c>
      <c r="AH319" s="2" t="s">
        <v>2546</v>
      </c>
      <c r="AI319" s="2" t="n">
        <v>0</v>
      </c>
    </row>
    <row r="320" customFormat="false" ht="15" hidden="false" customHeight="false" outlineLevel="0" collapsed="false">
      <c r="A320" s="2" t="n">
        <v>91150</v>
      </c>
      <c r="B320" s="2" t="s">
        <v>2547</v>
      </c>
      <c r="C320" s="2"/>
      <c r="D320" s="2" t="s">
        <v>227</v>
      </c>
      <c r="E320" s="2" t="s">
        <v>117</v>
      </c>
      <c r="F320" s="2" t="s">
        <v>38</v>
      </c>
      <c r="G320" s="2" t="s">
        <v>40</v>
      </c>
      <c r="H320" s="2" t="s">
        <v>40</v>
      </c>
      <c r="I320" s="2" t="s">
        <v>40</v>
      </c>
      <c r="J320" s="2" t="s">
        <v>1624</v>
      </c>
      <c r="K320" s="2" t="s">
        <v>68</v>
      </c>
      <c r="L320" s="2" t="s">
        <v>43</v>
      </c>
      <c r="M320" s="2" t="s">
        <v>44</v>
      </c>
      <c r="N320" s="2"/>
      <c r="O320" s="2" t="n">
        <v>7.8713778</v>
      </c>
      <c r="P320" s="2" t="n">
        <v>98.3940425</v>
      </c>
      <c r="Q320" s="2"/>
      <c r="R320" s="2" t="s">
        <v>2548</v>
      </c>
      <c r="S320" s="2"/>
      <c r="T320" s="2"/>
      <c r="U320" s="2" t="s">
        <v>2549</v>
      </c>
      <c r="V320" s="2"/>
      <c r="W320" s="2" t="s">
        <v>2550</v>
      </c>
      <c r="X320" s="2"/>
      <c r="Y320" s="2" t="s">
        <v>48</v>
      </c>
      <c r="Z320" s="3" t="s">
        <v>2551</v>
      </c>
      <c r="AA320" s="2" t="s">
        <v>40</v>
      </c>
      <c r="AB320" s="2" t="s">
        <v>50</v>
      </c>
      <c r="AC320" s="2" t="n">
        <v>0</v>
      </c>
      <c r="AD320" s="2" t="n">
        <v>601</v>
      </c>
      <c r="AE320" s="2" t="n">
        <v>0</v>
      </c>
      <c r="AF320" s="2"/>
      <c r="AG320" s="2" t="s">
        <v>2552</v>
      </c>
      <c r="AH320" s="2" t="s">
        <v>2553</v>
      </c>
      <c r="AI320" s="2" t="n">
        <v>0</v>
      </c>
    </row>
    <row r="321" customFormat="false" ht="15" hidden="false" customHeight="false" outlineLevel="0" collapsed="false">
      <c r="A321" s="2" t="n">
        <v>90912</v>
      </c>
      <c r="B321" s="2" t="s">
        <v>2554</v>
      </c>
      <c r="C321" s="2"/>
      <c r="D321" s="2" t="s">
        <v>2268</v>
      </c>
      <c r="E321" s="2" t="s">
        <v>37</v>
      </c>
      <c r="F321" s="2" t="s">
        <v>38</v>
      </c>
      <c r="G321" s="2" t="s">
        <v>39</v>
      </c>
      <c r="H321" s="2" t="s">
        <v>40</v>
      </c>
      <c r="I321" s="2" t="s">
        <v>40</v>
      </c>
      <c r="J321" s="2" t="s">
        <v>2555</v>
      </c>
      <c r="K321" s="2" t="s">
        <v>109</v>
      </c>
      <c r="L321" s="2" t="s">
        <v>109</v>
      </c>
      <c r="M321" s="2" t="s">
        <v>44</v>
      </c>
      <c r="N321" s="2"/>
      <c r="O321" s="2" t="n">
        <v>7.914342</v>
      </c>
      <c r="P321" s="2" t="n">
        <v>98.332244</v>
      </c>
      <c r="Q321" s="2"/>
      <c r="R321" s="2" t="s">
        <v>2556</v>
      </c>
      <c r="S321" s="2"/>
      <c r="T321" s="2"/>
      <c r="U321" s="2" t="s">
        <v>2557</v>
      </c>
      <c r="V321" s="2"/>
      <c r="W321" s="2" t="s">
        <v>2077</v>
      </c>
      <c r="X321" s="2"/>
      <c r="Y321" s="2" t="s">
        <v>48</v>
      </c>
      <c r="Z321" s="3" t="s">
        <v>2558</v>
      </c>
      <c r="AA321" s="2" t="s">
        <v>40</v>
      </c>
      <c r="AB321" s="2" t="s">
        <v>50</v>
      </c>
      <c r="AC321" s="2" t="n">
        <v>0</v>
      </c>
      <c r="AD321" s="2" t="n">
        <v>698</v>
      </c>
      <c r="AE321" s="2" t="n">
        <v>0</v>
      </c>
      <c r="AF321" s="2"/>
      <c r="AG321" s="2" t="s">
        <v>2559</v>
      </c>
      <c r="AH321" s="2" t="s">
        <v>2560</v>
      </c>
      <c r="AI321" s="2" t="n">
        <v>0</v>
      </c>
    </row>
    <row r="322" customFormat="false" ht="15" hidden="false" customHeight="false" outlineLevel="0" collapsed="false">
      <c r="A322" s="2" t="n">
        <v>90911</v>
      </c>
      <c r="B322" s="2" t="s">
        <v>2561</v>
      </c>
      <c r="C322" s="2"/>
      <c r="D322" s="2" t="s">
        <v>726</v>
      </c>
      <c r="E322" s="2" t="s">
        <v>37</v>
      </c>
      <c r="F322" s="2" t="s">
        <v>38</v>
      </c>
      <c r="G322" s="2" t="s">
        <v>39</v>
      </c>
      <c r="H322" s="2" t="s">
        <v>40</v>
      </c>
      <c r="I322" s="2" t="s">
        <v>40</v>
      </c>
      <c r="J322" s="2" t="s">
        <v>2562</v>
      </c>
      <c r="K322" s="2" t="s">
        <v>333</v>
      </c>
      <c r="L322" s="2" t="s">
        <v>58</v>
      </c>
      <c r="M322" s="2" t="s">
        <v>44</v>
      </c>
      <c r="N322" s="2"/>
      <c r="O322" s="2" t="n">
        <v>8.036475</v>
      </c>
      <c r="P322" s="2" t="n">
        <v>98.41487</v>
      </c>
      <c r="Q322" s="2"/>
      <c r="R322" s="2" t="s">
        <v>2563</v>
      </c>
      <c r="S322" s="2"/>
      <c r="T322" s="2"/>
      <c r="U322" s="2" t="s">
        <v>2564</v>
      </c>
      <c r="V322" s="2"/>
      <c r="W322" s="2" t="s">
        <v>674</v>
      </c>
      <c r="X322" s="2"/>
      <c r="Y322" s="2" t="s">
        <v>48</v>
      </c>
      <c r="Z322" s="3" t="s">
        <v>2565</v>
      </c>
      <c r="AA322" s="2" t="s">
        <v>40</v>
      </c>
      <c r="AB322" s="2" t="s">
        <v>50</v>
      </c>
      <c r="AC322" s="2" t="n">
        <v>0</v>
      </c>
      <c r="AD322" s="2" t="n">
        <v>859</v>
      </c>
      <c r="AE322" s="2" t="n">
        <v>0</v>
      </c>
      <c r="AF322" s="2"/>
      <c r="AG322" s="2" t="s">
        <v>2566</v>
      </c>
      <c r="AH322" s="2" t="s">
        <v>2567</v>
      </c>
      <c r="AI322" s="2" t="n">
        <v>0</v>
      </c>
    </row>
    <row r="323" customFormat="false" ht="15" hidden="false" customHeight="false" outlineLevel="0" collapsed="false">
      <c r="A323" s="2" t="n">
        <v>90854</v>
      </c>
      <c r="B323" s="2" t="s">
        <v>2568</v>
      </c>
      <c r="C323" s="2"/>
      <c r="D323" s="2" t="s">
        <v>2569</v>
      </c>
      <c r="E323" s="2" t="s">
        <v>55</v>
      </c>
      <c r="F323" s="2" t="s">
        <v>237</v>
      </c>
      <c r="G323" s="2" t="s">
        <v>39</v>
      </c>
      <c r="H323" s="2" t="s">
        <v>40</v>
      </c>
      <c r="I323" s="2" t="s">
        <v>40</v>
      </c>
      <c r="J323" s="2" t="s">
        <v>555</v>
      </c>
      <c r="K323" s="2" t="s">
        <v>474</v>
      </c>
      <c r="L323" s="2" t="s">
        <v>43</v>
      </c>
      <c r="M323" s="2" t="s">
        <v>44</v>
      </c>
      <c r="N323" s="2"/>
      <c r="O323" s="2" t="n">
        <v>7.846399</v>
      </c>
      <c r="P323" s="2" t="n">
        <v>98.350963</v>
      </c>
      <c r="Q323" s="2" t="s">
        <v>2570</v>
      </c>
      <c r="R323" s="2"/>
      <c r="S323" s="2"/>
      <c r="T323" s="2"/>
      <c r="U323" s="2" t="s">
        <v>2571</v>
      </c>
      <c r="V323" s="2"/>
      <c r="W323" s="2" t="s">
        <v>1395</v>
      </c>
      <c r="X323" s="2"/>
      <c r="Y323" s="2" t="s">
        <v>48</v>
      </c>
      <c r="Z323" s="3" t="s">
        <v>2572</v>
      </c>
      <c r="AA323" s="2" t="s">
        <v>40</v>
      </c>
      <c r="AB323" s="2" t="s">
        <v>50</v>
      </c>
      <c r="AC323" s="2" t="n">
        <v>0</v>
      </c>
      <c r="AD323" s="2" t="n">
        <v>1903</v>
      </c>
      <c r="AE323" s="2" t="n">
        <v>0</v>
      </c>
      <c r="AF323" s="2"/>
      <c r="AG323" s="2" t="s">
        <v>2573</v>
      </c>
      <c r="AH323" s="2" t="s">
        <v>2574</v>
      </c>
      <c r="AI323" s="2" t="n">
        <v>0</v>
      </c>
    </row>
    <row r="324" customFormat="false" ht="15" hidden="false" customHeight="false" outlineLevel="0" collapsed="false">
      <c r="A324" s="2" t="n">
        <v>91795</v>
      </c>
      <c r="B324" s="2" t="s">
        <v>2575</v>
      </c>
      <c r="C324" s="2"/>
      <c r="D324" s="2" t="s">
        <v>2576</v>
      </c>
      <c r="E324" s="2" t="s">
        <v>117</v>
      </c>
      <c r="F324" s="2" t="s">
        <v>106</v>
      </c>
      <c r="G324" s="2" t="s">
        <v>39</v>
      </c>
      <c r="H324" s="2" t="s">
        <v>40</v>
      </c>
      <c r="I324" s="2" t="s">
        <v>40</v>
      </c>
      <c r="J324" s="2" t="s">
        <v>2577</v>
      </c>
      <c r="K324" s="2" t="s">
        <v>78</v>
      </c>
      <c r="L324" s="2" t="s">
        <v>43</v>
      </c>
      <c r="M324" s="2" t="s">
        <v>44</v>
      </c>
      <c r="N324" s="2"/>
      <c r="O324" s="2" t="n">
        <v>7.8977308</v>
      </c>
      <c r="P324" s="2" t="n">
        <v>98.4032681</v>
      </c>
      <c r="Q324" s="2"/>
      <c r="R324" s="2" t="s">
        <v>2578</v>
      </c>
      <c r="S324" s="2"/>
      <c r="T324" s="2"/>
      <c r="U324" s="2" t="s">
        <v>2579</v>
      </c>
      <c r="V324" s="2"/>
      <c r="W324" s="2" t="s">
        <v>2580</v>
      </c>
      <c r="X324" s="2"/>
      <c r="Y324" s="2" t="s">
        <v>48</v>
      </c>
      <c r="Z324" s="3" t="s">
        <v>2581</v>
      </c>
      <c r="AA324" s="2" t="s">
        <v>40</v>
      </c>
      <c r="AB324" s="2" t="s">
        <v>50</v>
      </c>
      <c r="AC324" s="2" t="n">
        <v>0</v>
      </c>
      <c r="AD324" s="2" t="n">
        <v>704</v>
      </c>
      <c r="AE324" s="2" t="n">
        <v>0</v>
      </c>
      <c r="AF324" s="2"/>
      <c r="AG324" s="2" t="s">
        <v>2582</v>
      </c>
      <c r="AH324" s="2" t="s">
        <v>2583</v>
      </c>
      <c r="AI324" s="2" t="n">
        <v>0</v>
      </c>
    </row>
    <row r="325" customFormat="false" ht="15" hidden="false" customHeight="false" outlineLevel="0" collapsed="false">
      <c r="A325" s="2" t="n">
        <v>91428</v>
      </c>
      <c r="B325" s="2" t="s">
        <v>2584</v>
      </c>
      <c r="C325" s="2"/>
      <c r="D325" s="2" t="s">
        <v>2585</v>
      </c>
      <c r="E325" s="2" t="s">
        <v>55</v>
      </c>
      <c r="F325" s="2" t="s">
        <v>106</v>
      </c>
      <c r="G325" s="2" t="s">
        <v>39</v>
      </c>
      <c r="H325" s="2" t="s">
        <v>40</v>
      </c>
      <c r="I325" s="2" t="s">
        <v>40</v>
      </c>
      <c r="J325" s="2" t="s">
        <v>158</v>
      </c>
      <c r="K325" s="2" t="s">
        <v>78</v>
      </c>
      <c r="L325" s="2" t="s">
        <v>43</v>
      </c>
      <c r="M325" s="2" t="s">
        <v>44</v>
      </c>
      <c r="N325" s="2"/>
      <c r="O325" s="2" t="n">
        <v>7.8812557</v>
      </c>
      <c r="P325" s="2" t="n">
        <v>98.3686763</v>
      </c>
      <c r="Q325" s="2"/>
      <c r="R325" s="2" t="s">
        <v>2586</v>
      </c>
      <c r="S325" s="2"/>
      <c r="T325" s="2"/>
      <c r="U325" s="2" t="s">
        <v>2587</v>
      </c>
      <c r="V325" s="2"/>
      <c r="W325" s="2" t="s">
        <v>857</v>
      </c>
      <c r="X325" s="2"/>
      <c r="Y325" s="2" t="s">
        <v>48</v>
      </c>
      <c r="Z325" s="3" t="s">
        <v>2588</v>
      </c>
      <c r="AA325" s="2" t="s">
        <v>40</v>
      </c>
      <c r="AB325" s="2" t="s">
        <v>50</v>
      </c>
      <c r="AC325" s="2" t="n">
        <v>0</v>
      </c>
      <c r="AD325" s="2" t="n">
        <v>650</v>
      </c>
      <c r="AE325" s="2" t="n">
        <v>0</v>
      </c>
      <c r="AF325" s="2"/>
      <c r="AG325" s="2" t="s">
        <v>2589</v>
      </c>
      <c r="AH325" s="2" t="s">
        <v>2590</v>
      </c>
      <c r="AI325" s="2" t="n">
        <v>0</v>
      </c>
    </row>
    <row r="326" customFormat="false" ht="15" hidden="false" customHeight="false" outlineLevel="0" collapsed="false">
      <c r="A326" s="2" t="n">
        <v>91419</v>
      </c>
      <c r="B326" s="2" t="s">
        <v>2591</v>
      </c>
      <c r="C326" s="2"/>
      <c r="D326" s="2" t="s">
        <v>184</v>
      </c>
      <c r="E326" s="2" t="s">
        <v>37</v>
      </c>
      <c r="F326" s="2" t="s">
        <v>118</v>
      </c>
      <c r="G326" s="2" t="s">
        <v>39</v>
      </c>
      <c r="H326" s="2" t="s">
        <v>40</v>
      </c>
      <c r="I326" s="2" t="s">
        <v>40</v>
      </c>
      <c r="J326" s="2" t="s">
        <v>2592</v>
      </c>
      <c r="K326" s="2" t="s">
        <v>78</v>
      </c>
      <c r="L326" s="2" t="s">
        <v>43</v>
      </c>
      <c r="M326" s="2" t="s">
        <v>44</v>
      </c>
      <c r="N326" s="2"/>
      <c r="O326" s="2" t="n">
        <v>7.9071417</v>
      </c>
      <c r="P326" s="2" t="n">
        <v>98.3980111</v>
      </c>
      <c r="Q326" s="2"/>
      <c r="R326" s="2" t="s">
        <v>2593</v>
      </c>
      <c r="S326" s="2"/>
      <c r="T326" s="2"/>
      <c r="U326" s="2" t="s">
        <v>2594</v>
      </c>
      <c r="V326" s="2"/>
      <c r="W326" s="2" t="s">
        <v>2595</v>
      </c>
      <c r="X326" s="2"/>
      <c r="Y326" s="2" t="s">
        <v>48</v>
      </c>
      <c r="Z326" s="3" t="s">
        <v>2596</v>
      </c>
      <c r="AA326" s="2" t="s">
        <v>40</v>
      </c>
      <c r="AB326" s="2" t="s">
        <v>50</v>
      </c>
      <c r="AC326" s="2" t="n">
        <v>0</v>
      </c>
      <c r="AD326" s="2" t="n">
        <v>663</v>
      </c>
      <c r="AE326" s="2" t="n">
        <v>0</v>
      </c>
      <c r="AF326" s="2"/>
      <c r="AG326" s="2" t="s">
        <v>2597</v>
      </c>
      <c r="AH326" s="2" t="s">
        <v>2598</v>
      </c>
      <c r="AI326" s="2" t="n">
        <v>0</v>
      </c>
    </row>
    <row r="327" customFormat="false" ht="15" hidden="false" customHeight="false" outlineLevel="0" collapsed="false">
      <c r="A327" s="2" t="n">
        <v>91132</v>
      </c>
      <c r="B327" s="2" t="s">
        <v>2599</v>
      </c>
      <c r="C327" s="2"/>
      <c r="D327" s="2" t="s">
        <v>1945</v>
      </c>
      <c r="E327" s="2" t="s">
        <v>117</v>
      </c>
      <c r="F327" s="2" t="s">
        <v>38</v>
      </c>
      <c r="G327" s="2" t="s">
        <v>39</v>
      </c>
      <c r="H327" s="2" t="s">
        <v>40</v>
      </c>
      <c r="I327" s="2" t="s">
        <v>40</v>
      </c>
      <c r="J327" s="2" t="s">
        <v>2017</v>
      </c>
      <c r="K327" s="2" t="s">
        <v>68</v>
      </c>
      <c r="L327" s="2" t="s">
        <v>43</v>
      </c>
      <c r="M327" s="2" t="s">
        <v>44</v>
      </c>
      <c r="N327" s="2"/>
      <c r="O327" s="2" t="n">
        <v>7.9019139</v>
      </c>
      <c r="P327" s="2" t="n">
        <v>98.3771984</v>
      </c>
      <c r="Q327" s="2" t="s">
        <v>2600</v>
      </c>
      <c r="R327" s="2"/>
      <c r="S327" s="2"/>
      <c r="T327" s="2"/>
      <c r="U327" s="2" t="s">
        <v>2601</v>
      </c>
      <c r="V327" s="2"/>
      <c r="W327" s="2" t="s">
        <v>2602</v>
      </c>
      <c r="X327" s="2"/>
      <c r="Y327" s="2" t="s">
        <v>48</v>
      </c>
      <c r="Z327" s="3" t="s">
        <v>2603</v>
      </c>
      <c r="AA327" s="2" t="s">
        <v>40</v>
      </c>
      <c r="AB327" s="2" t="s">
        <v>50</v>
      </c>
      <c r="AC327" s="2" t="n">
        <v>0</v>
      </c>
      <c r="AD327" s="2" t="n">
        <v>543</v>
      </c>
      <c r="AE327" s="2" t="n">
        <v>0</v>
      </c>
      <c r="AF327" s="2"/>
      <c r="AG327" s="2" t="s">
        <v>2604</v>
      </c>
      <c r="AH327" s="2" t="s">
        <v>2605</v>
      </c>
      <c r="AI327" s="2" t="n">
        <v>0</v>
      </c>
    </row>
    <row r="328" customFormat="false" ht="15" hidden="false" customHeight="false" outlineLevel="0" collapsed="false">
      <c r="A328" s="2" t="n">
        <v>90798</v>
      </c>
      <c r="B328" s="2" t="s">
        <v>2606</v>
      </c>
      <c r="C328" s="2"/>
      <c r="D328" s="2" t="s">
        <v>2607</v>
      </c>
      <c r="E328" s="2" t="s">
        <v>117</v>
      </c>
      <c r="F328" s="2" t="s">
        <v>106</v>
      </c>
      <c r="G328" s="2" t="s">
        <v>39</v>
      </c>
      <c r="H328" s="2" t="s">
        <v>40</v>
      </c>
      <c r="I328" s="2" t="s">
        <v>40</v>
      </c>
      <c r="J328" s="2" t="s">
        <v>2608</v>
      </c>
      <c r="K328" s="2" t="s">
        <v>42</v>
      </c>
      <c r="L328" s="2" t="s">
        <v>43</v>
      </c>
      <c r="M328" s="2" t="s">
        <v>44</v>
      </c>
      <c r="N328" s="2"/>
      <c r="O328" s="2" t="n">
        <v>7.8773619</v>
      </c>
      <c r="P328" s="2" t="n">
        <v>98.380039</v>
      </c>
      <c r="Q328" s="2"/>
      <c r="R328" s="2" t="s">
        <v>2609</v>
      </c>
      <c r="S328" s="2"/>
      <c r="T328" s="2"/>
      <c r="U328" s="2" t="s">
        <v>2610</v>
      </c>
      <c r="V328" s="2"/>
      <c r="W328" s="2" t="s">
        <v>2611</v>
      </c>
      <c r="X328" s="2"/>
      <c r="Y328" s="2" t="s">
        <v>48</v>
      </c>
      <c r="Z328" s="3" t="s">
        <v>2612</v>
      </c>
      <c r="AA328" s="2" t="s">
        <v>40</v>
      </c>
      <c r="AB328" s="2" t="s">
        <v>50</v>
      </c>
      <c r="AC328" s="2" t="n">
        <v>0</v>
      </c>
      <c r="AD328" s="2" t="n">
        <v>804</v>
      </c>
      <c r="AE328" s="2" t="n">
        <v>0</v>
      </c>
      <c r="AF328" s="2"/>
      <c r="AG328" s="2" t="s">
        <v>2613</v>
      </c>
      <c r="AH328" s="2" t="s">
        <v>2614</v>
      </c>
      <c r="AI328" s="2" t="n">
        <v>0</v>
      </c>
    </row>
    <row r="329" customFormat="false" ht="15" hidden="false" customHeight="false" outlineLevel="0" collapsed="false">
      <c r="A329" s="2" t="n">
        <v>91963</v>
      </c>
      <c r="B329" s="2" t="s">
        <v>2615</v>
      </c>
      <c r="C329" s="2"/>
      <c r="D329" s="2" t="s">
        <v>2616</v>
      </c>
      <c r="E329" s="2" t="s">
        <v>117</v>
      </c>
      <c r="F329" s="2" t="s">
        <v>38</v>
      </c>
      <c r="G329" s="2" t="s">
        <v>39</v>
      </c>
      <c r="H329" s="2" t="s">
        <v>40</v>
      </c>
      <c r="I329" s="2" t="s">
        <v>40</v>
      </c>
      <c r="J329" s="2" t="s">
        <v>158</v>
      </c>
      <c r="K329" s="2" t="s">
        <v>78</v>
      </c>
      <c r="L329" s="2" t="s">
        <v>43</v>
      </c>
      <c r="M329" s="2" t="s">
        <v>44</v>
      </c>
      <c r="N329" s="2"/>
      <c r="O329" s="2" t="n">
        <v>7.880952</v>
      </c>
      <c r="P329" s="2" t="n">
        <v>98.369858</v>
      </c>
      <c r="Q329" s="2"/>
      <c r="R329" s="2" t="s">
        <v>2617</v>
      </c>
      <c r="S329" s="2"/>
      <c r="T329" s="2"/>
      <c r="U329" s="2" t="s">
        <v>2618</v>
      </c>
      <c r="V329" s="2"/>
      <c r="W329" s="2" t="s">
        <v>1155</v>
      </c>
      <c r="X329" s="2"/>
      <c r="Y329" s="2" t="s">
        <v>48</v>
      </c>
      <c r="Z329" s="3" t="s">
        <v>2619</v>
      </c>
      <c r="AA329" s="2" t="s">
        <v>40</v>
      </c>
      <c r="AB329" s="2" t="s">
        <v>50</v>
      </c>
      <c r="AC329" s="2" t="n">
        <v>0</v>
      </c>
      <c r="AD329" s="2" t="n">
        <v>670</v>
      </c>
      <c r="AE329" s="2" t="n">
        <v>1</v>
      </c>
      <c r="AF329" s="2"/>
      <c r="AG329" s="2" t="s">
        <v>2620</v>
      </c>
      <c r="AH329" s="2" t="s">
        <v>2621</v>
      </c>
      <c r="AI329" s="2" t="n">
        <v>0</v>
      </c>
    </row>
    <row r="330" customFormat="false" ht="15" hidden="false" customHeight="false" outlineLevel="0" collapsed="false">
      <c r="A330" s="2" t="n">
        <v>90875</v>
      </c>
      <c r="B330" s="2" t="s">
        <v>2622</v>
      </c>
      <c r="C330" s="2"/>
      <c r="D330" s="2" t="s">
        <v>1208</v>
      </c>
      <c r="E330" s="2" t="s">
        <v>37</v>
      </c>
      <c r="F330" s="2" t="s">
        <v>106</v>
      </c>
      <c r="G330" s="2" t="s">
        <v>39</v>
      </c>
      <c r="H330" s="2" t="s">
        <v>40</v>
      </c>
      <c r="I330" s="2" t="s">
        <v>40</v>
      </c>
      <c r="J330" s="2" t="s">
        <v>2623</v>
      </c>
      <c r="K330" s="2" t="s">
        <v>68</v>
      </c>
      <c r="L330" s="2" t="s">
        <v>43</v>
      </c>
      <c r="M330" s="2" t="s">
        <v>44</v>
      </c>
      <c r="N330" s="2"/>
      <c r="O330" s="2" t="n">
        <v>7.874706</v>
      </c>
      <c r="P330" s="2" t="n">
        <v>98.39023</v>
      </c>
      <c r="Q330" s="2" t="s">
        <v>2624</v>
      </c>
      <c r="R330" s="2"/>
      <c r="S330" s="2"/>
      <c r="T330" s="2"/>
      <c r="U330" s="2" t="s">
        <v>2625</v>
      </c>
      <c r="V330" s="2"/>
      <c r="W330" s="2" t="s">
        <v>2626</v>
      </c>
      <c r="X330" s="2"/>
      <c r="Y330" s="2" t="s">
        <v>48</v>
      </c>
      <c r="Z330" s="3" t="s">
        <v>2627</v>
      </c>
      <c r="AA330" s="2" t="s">
        <v>40</v>
      </c>
      <c r="AB330" s="2" t="s">
        <v>50</v>
      </c>
      <c r="AC330" s="2" t="n">
        <v>0</v>
      </c>
      <c r="AD330" s="2" t="n">
        <v>660</v>
      </c>
      <c r="AE330" s="2" t="n">
        <v>0</v>
      </c>
      <c r="AF330" s="2"/>
      <c r="AG330" s="2" t="s">
        <v>2628</v>
      </c>
      <c r="AH330" s="2" t="s">
        <v>2629</v>
      </c>
      <c r="AI330" s="2" t="n">
        <v>0</v>
      </c>
    </row>
    <row r="331" customFormat="false" ht="15" hidden="false" customHeight="false" outlineLevel="0" collapsed="false">
      <c r="A331" s="2" t="n">
        <v>90861</v>
      </c>
      <c r="B331" s="2" t="s">
        <v>2630</v>
      </c>
      <c r="C331" s="2"/>
      <c r="D331" s="2" t="s">
        <v>766</v>
      </c>
      <c r="E331" s="2" t="s">
        <v>117</v>
      </c>
      <c r="F331" s="2" t="s">
        <v>38</v>
      </c>
      <c r="G331" s="2" t="s">
        <v>39</v>
      </c>
      <c r="H331" s="2" t="s">
        <v>40</v>
      </c>
      <c r="I331" s="2" t="s">
        <v>40</v>
      </c>
      <c r="J331" s="2" t="s">
        <v>1493</v>
      </c>
      <c r="K331" s="2" t="s">
        <v>42</v>
      </c>
      <c r="L331" s="2" t="s">
        <v>43</v>
      </c>
      <c r="M331" s="2" t="s">
        <v>44</v>
      </c>
      <c r="N331" s="2"/>
      <c r="O331" s="2" t="n">
        <v>7.883665</v>
      </c>
      <c r="P331" s="2" t="n">
        <v>98.381378</v>
      </c>
      <c r="Q331" s="2"/>
      <c r="R331" s="2" t="s">
        <v>2631</v>
      </c>
      <c r="S331" s="2"/>
      <c r="T331" s="2"/>
      <c r="U331" s="2" t="s">
        <v>2632</v>
      </c>
      <c r="V331" s="2"/>
      <c r="W331" s="2" t="s">
        <v>2633</v>
      </c>
      <c r="X331" s="2"/>
      <c r="Y331" s="2" t="s">
        <v>48</v>
      </c>
      <c r="Z331" s="3" t="s">
        <v>2634</v>
      </c>
      <c r="AA331" s="2" t="s">
        <v>40</v>
      </c>
      <c r="AB331" s="2" t="s">
        <v>50</v>
      </c>
      <c r="AC331" s="2" t="n">
        <v>0</v>
      </c>
      <c r="AD331" s="2" t="n">
        <v>843</v>
      </c>
      <c r="AE331" s="2" t="n">
        <v>1</v>
      </c>
      <c r="AF331" s="2"/>
      <c r="AG331" s="2" t="s">
        <v>2635</v>
      </c>
      <c r="AH331" s="2" t="s">
        <v>2636</v>
      </c>
      <c r="AI331" s="2" t="n">
        <v>0</v>
      </c>
    </row>
    <row r="332" customFormat="false" ht="15" hidden="false" customHeight="false" outlineLevel="0" collapsed="false">
      <c r="A332" s="2" t="n">
        <v>90838</v>
      </c>
      <c r="B332" s="2" t="s">
        <v>2637</v>
      </c>
      <c r="C332" s="2"/>
      <c r="D332" s="2" t="s">
        <v>2638</v>
      </c>
      <c r="E332" s="2" t="s">
        <v>37</v>
      </c>
      <c r="F332" s="2" t="s">
        <v>129</v>
      </c>
      <c r="G332" s="2" t="s">
        <v>39</v>
      </c>
      <c r="H332" s="2" t="s">
        <v>40</v>
      </c>
      <c r="I332" s="2" t="s">
        <v>40</v>
      </c>
      <c r="J332" s="2" t="s">
        <v>871</v>
      </c>
      <c r="K332" s="2" t="s">
        <v>108</v>
      </c>
      <c r="L332" s="2" t="s">
        <v>109</v>
      </c>
      <c r="M332" s="2" t="s">
        <v>44</v>
      </c>
      <c r="N332" s="2"/>
      <c r="O332" s="2" t="n">
        <v>7.9163329</v>
      </c>
      <c r="P332" s="2" t="n">
        <v>98.2909974</v>
      </c>
      <c r="Q332" s="2"/>
      <c r="R332" s="2" t="s">
        <v>2639</v>
      </c>
      <c r="S332" s="2"/>
      <c r="T332" s="2"/>
      <c r="U332" s="2" t="s">
        <v>2640</v>
      </c>
      <c r="V332" s="2"/>
      <c r="W332" s="2" t="s">
        <v>1681</v>
      </c>
      <c r="X332" s="2"/>
      <c r="Y332" s="2" t="s">
        <v>48</v>
      </c>
      <c r="Z332" s="3" t="s">
        <v>2641</v>
      </c>
      <c r="AA332" s="2" t="s">
        <v>40</v>
      </c>
      <c r="AB332" s="2" t="s">
        <v>50</v>
      </c>
      <c r="AC332" s="2" t="n">
        <v>0</v>
      </c>
      <c r="AD332" s="2" t="n">
        <v>561</v>
      </c>
      <c r="AE332" s="2" t="n">
        <v>1</v>
      </c>
      <c r="AF332" s="2"/>
      <c r="AG332" s="2" t="s">
        <v>2642</v>
      </c>
      <c r="AH332" s="2" t="s">
        <v>2643</v>
      </c>
      <c r="AI332" s="2" t="n">
        <v>0</v>
      </c>
    </row>
    <row r="333" customFormat="false" ht="15" hidden="false" customHeight="false" outlineLevel="0" collapsed="false">
      <c r="A333" s="2" t="n">
        <v>91199</v>
      </c>
      <c r="B333" s="2" t="s">
        <v>2644</v>
      </c>
      <c r="C333" s="2"/>
      <c r="D333" s="2" t="s">
        <v>2569</v>
      </c>
      <c r="E333" s="2" t="s">
        <v>37</v>
      </c>
      <c r="F333" s="2" t="s">
        <v>106</v>
      </c>
      <c r="G333" s="2" t="s">
        <v>39</v>
      </c>
      <c r="H333" s="2" t="s">
        <v>40</v>
      </c>
      <c r="I333" s="2" t="s">
        <v>40</v>
      </c>
      <c r="J333" s="2" t="s">
        <v>2645</v>
      </c>
      <c r="K333" s="2" t="s">
        <v>42</v>
      </c>
      <c r="L333" s="2" t="s">
        <v>43</v>
      </c>
      <c r="M333" s="2" t="s">
        <v>44</v>
      </c>
      <c r="N333" s="2"/>
      <c r="O333" s="2" t="n">
        <v>7.8685526</v>
      </c>
      <c r="P333" s="2" t="n">
        <v>98.3792908</v>
      </c>
      <c r="Q333" s="2"/>
      <c r="R333" s="2" t="s">
        <v>2646</v>
      </c>
      <c r="S333" s="2"/>
      <c r="T333" s="2"/>
      <c r="U333" s="2" t="s">
        <v>2647</v>
      </c>
      <c r="V333" s="2"/>
      <c r="W333" s="2" t="s">
        <v>318</v>
      </c>
      <c r="X333" s="2"/>
      <c r="Y333" s="2" t="s">
        <v>48</v>
      </c>
      <c r="Z333" s="3" t="s">
        <v>2648</v>
      </c>
      <c r="AA333" s="2" t="s">
        <v>40</v>
      </c>
      <c r="AB333" s="2" t="s">
        <v>50</v>
      </c>
      <c r="AC333" s="2" t="n">
        <v>0</v>
      </c>
      <c r="AD333" s="2" t="n">
        <v>1150</v>
      </c>
      <c r="AE333" s="2" t="n">
        <v>0</v>
      </c>
      <c r="AF333" s="2"/>
      <c r="AG333" s="2" t="s">
        <v>2649</v>
      </c>
      <c r="AH333" s="2" t="s">
        <v>2650</v>
      </c>
      <c r="AI333" s="2" t="n">
        <v>0</v>
      </c>
    </row>
    <row r="334" customFormat="false" ht="15" hidden="false" customHeight="false" outlineLevel="0" collapsed="false">
      <c r="A334" s="2" t="n">
        <v>91237</v>
      </c>
      <c r="B334" s="2" t="s">
        <v>2651</v>
      </c>
      <c r="C334" s="2"/>
      <c r="D334" s="2" t="s">
        <v>116</v>
      </c>
      <c r="E334" s="2" t="s">
        <v>37</v>
      </c>
      <c r="F334" s="2" t="s">
        <v>38</v>
      </c>
      <c r="G334" s="2" t="s">
        <v>39</v>
      </c>
      <c r="H334" s="2" t="s">
        <v>40</v>
      </c>
      <c r="I334" s="2" t="s">
        <v>40</v>
      </c>
      <c r="J334" s="2" t="s">
        <v>2170</v>
      </c>
      <c r="K334" s="2" t="s">
        <v>1953</v>
      </c>
      <c r="L334" s="2" t="s">
        <v>58</v>
      </c>
      <c r="M334" s="2" t="s">
        <v>44</v>
      </c>
      <c r="N334" s="2"/>
      <c r="O334" s="2" t="n">
        <v>8.0148513</v>
      </c>
      <c r="P334" s="2" t="n">
        <v>98.3382459</v>
      </c>
      <c r="Q334" s="2"/>
      <c r="R334" s="2" t="s">
        <v>2652</v>
      </c>
      <c r="S334" s="2"/>
      <c r="T334" s="2"/>
      <c r="U334" s="2" t="s">
        <v>2653</v>
      </c>
      <c r="V334" s="2"/>
      <c r="W334" s="2" t="s">
        <v>368</v>
      </c>
      <c r="X334" s="2"/>
      <c r="Y334" s="2" t="s">
        <v>48</v>
      </c>
      <c r="Z334" s="3" t="s">
        <v>2654</v>
      </c>
      <c r="AA334" s="2" t="s">
        <v>40</v>
      </c>
      <c r="AB334" s="2" t="s">
        <v>50</v>
      </c>
      <c r="AC334" s="2" t="n">
        <v>0</v>
      </c>
      <c r="AD334" s="2" t="n">
        <v>587</v>
      </c>
      <c r="AE334" s="2" t="n">
        <v>1</v>
      </c>
      <c r="AF334" s="2"/>
      <c r="AG334" s="2" t="s">
        <v>2655</v>
      </c>
      <c r="AH334" s="2" t="s">
        <v>2656</v>
      </c>
      <c r="AI334" s="2" t="n">
        <v>0</v>
      </c>
    </row>
    <row r="335" customFormat="false" ht="15" hidden="false" customHeight="false" outlineLevel="0" collapsed="false">
      <c r="A335" s="2" t="n">
        <v>90842</v>
      </c>
      <c r="B335" s="2" t="s">
        <v>2657</v>
      </c>
      <c r="C335" s="2"/>
      <c r="D335" s="2" t="s">
        <v>726</v>
      </c>
      <c r="E335" s="2" t="s">
        <v>37</v>
      </c>
      <c r="F335" s="2" t="s">
        <v>106</v>
      </c>
      <c r="G335" s="2" t="s">
        <v>39</v>
      </c>
      <c r="H335" s="2" t="s">
        <v>40</v>
      </c>
      <c r="I335" s="2" t="s">
        <v>40</v>
      </c>
      <c r="J335" s="2" t="s">
        <v>2658</v>
      </c>
      <c r="K335" s="2" t="s">
        <v>474</v>
      </c>
      <c r="L335" s="2" t="s">
        <v>43</v>
      </c>
      <c r="M335" s="2" t="s">
        <v>44</v>
      </c>
      <c r="N335" s="2"/>
      <c r="O335" s="2" t="n">
        <v>7.838651</v>
      </c>
      <c r="P335" s="2" t="n">
        <v>98.364608</v>
      </c>
      <c r="Q335" s="2" t="s">
        <v>2659</v>
      </c>
      <c r="R335" s="2"/>
      <c r="S335" s="2"/>
      <c r="T335" s="2"/>
      <c r="U335" s="2" t="s">
        <v>2660</v>
      </c>
      <c r="V335" s="2"/>
      <c r="W335" s="2" t="s">
        <v>485</v>
      </c>
      <c r="X335" s="2"/>
      <c r="Y335" s="2" t="s">
        <v>48</v>
      </c>
      <c r="Z335" s="3" t="s">
        <v>2661</v>
      </c>
      <c r="AA335" s="2" t="s">
        <v>40</v>
      </c>
      <c r="AB335" s="2" t="s">
        <v>50</v>
      </c>
      <c r="AC335" s="2" t="n">
        <v>0</v>
      </c>
      <c r="AD335" s="2" t="n">
        <v>837</v>
      </c>
      <c r="AE335" s="2" t="n">
        <v>1</v>
      </c>
      <c r="AF335" s="2"/>
      <c r="AG335" s="2" t="s">
        <v>2662</v>
      </c>
      <c r="AH335" s="2" t="s">
        <v>2663</v>
      </c>
      <c r="AI335" s="2" t="n">
        <v>0</v>
      </c>
    </row>
    <row r="336" customFormat="false" ht="15" hidden="false" customHeight="false" outlineLevel="0" collapsed="false">
      <c r="A336" s="2" t="n">
        <v>91480</v>
      </c>
      <c r="B336" s="2" t="s">
        <v>2664</v>
      </c>
      <c r="C336" s="2"/>
      <c r="D336" s="2" t="s">
        <v>236</v>
      </c>
      <c r="E336" s="2" t="s">
        <v>37</v>
      </c>
      <c r="F336" s="2" t="s">
        <v>106</v>
      </c>
      <c r="G336" s="2" t="s">
        <v>39</v>
      </c>
      <c r="H336" s="2" t="s">
        <v>40</v>
      </c>
      <c r="I336" s="2" t="s">
        <v>40</v>
      </c>
      <c r="J336" s="2" t="s">
        <v>555</v>
      </c>
      <c r="K336" s="2" t="s">
        <v>474</v>
      </c>
      <c r="L336" s="2" t="s">
        <v>43</v>
      </c>
      <c r="M336" s="2" t="s">
        <v>44</v>
      </c>
      <c r="N336" s="2"/>
      <c r="O336" s="2" t="n">
        <v>7.834147</v>
      </c>
      <c r="P336" s="2" t="n">
        <v>98.347517</v>
      </c>
      <c r="Q336" s="2"/>
      <c r="R336" s="2" t="s">
        <v>2665</v>
      </c>
      <c r="S336" s="2"/>
      <c r="T336" s="2"/>
      <c r="U336" s="2" t="s">
        <v>2666</v>
      </c>
      <c r="V336" s="2"/>
      <c r="W336" s="2" t="s">
        <v>2667</v>
      </c>
      <c r="X336" s="2"/>
      <c r="Y336" s="2" t="s">
        <v>48</v>
      </c>
      <c r="Z336" s="3" t="s">
        <v>2668</v>
      </c>
      <c r="AA336" s="2" t="s">
        <v>40</v>
      </c>
      <c r="AB336" s="2" t="s">
        <v>50</v>
      </c>
      <c r="AC336" s="2" t="n">
        <v>0</v>
      </c>
      <c r="AD336" s="2" t="n">
        <v>960</v>
      </c>
      <c r="AE336" s="2" t="n">
        <v>0</v>
      </c>
      <c r="AF336" s="2"/>
      <c r="AG336" s="2" t="s">
        <v>2669</v>
      </c>
      <c r="AH336" s="2" t="s">
        <v>2670</v>
      </c>
      <c r="AI336" s="2" t="n">
        <v>0</v>
      </c>
    </row>
    <row r="337" customFormat="false" ht="15" hidden="false" customHeight="false" outlineLevel="0" collapsed="false">
      <c r="A337" s="2" t="n">
        <v>91184</v>
      </c>
      <c r="B337" s="2" t="s">
        <v>2671</v>
      </c>
      <c r="C337" s="2"/>
      <c r="D337" s="2" t="s">
        <v>1897</v>
      </c>
      <c r="E337" s="2" t="s">
        <v>117</v>
      </c>
      <c r="F337" s="2" t="s">
        <v>38</v>
      </c>
      <c r="G337" s="2" t="s">
        <v>39</v>
      </c>
      <c r="H337" s="2" t="s">
        <v>40</v>
      </c>
      <c r="I337" s="2" t="s">
        <v>40</v>
      </c>
      <c r="J337" s="2" t="s">
        <v>1898</v>
      </c>
      <c r="K337" s="2" t="s">
        <v>68</v>
      </c>
      <c r="L337" s="2" t="s">
        <v>43</v>
      </c>
      <c r="M337" s="2" t="s">
        <v>44</v>
      </c>
      <c r="N337" s="2"/>
      <c r="O337" s="2" t="n">
        <v>7.902331</v>
      </c>
      <c r="P337" s="2" t="n">
        <v>98.37877</v>
      </c>
      <c r="Q337" s="2"/>
      <c r="R337" s="2" t="s">
        <v>2672</v>
      </c>
      <c r="S337" s="2"/>
      <c r="T337" s="2"/>
      <c r="U337" s="2" t="s">
        <v>2673</v>
      </c>
      <c r="V337" s="2"/>
      <c r="W337" s="2" t="s">
        <v>2674</v>
      </c>
      <c r="X337" s="2"/>
      <c r="Y337" s="2" t="s">
        <v>48</v>
      </c>
      <c r="Z337" s="3" t="s">
        <v>2675</v>
      </c>
      <c r="AA337" s="2" t="s">
        <v>40</v>
      </c>
      <c r="AB337" s="2" t="s">
        <v>50</v>
      </c>
      <c r="AC337" s="2" t="n">
        <v>0</v>
      </c>
      <c r="AD337" s="2" t="n">
        <v>1007</v>
      </c>
      <c r="AE337" s="2" t="n">
        <v>0</v>
      </c>
      <c r="AF337" s="2"/>
      <c r="AG337" s="2" t="s">
        <v>2676</v>
      </c>
      <c r="AH337" s="2" t="s">
        <v>2677</v>
      </c>
      <c r="AI337" s="2" t="n">
        <v>0</v>
      </c>
    </row>
    <row r="338" customFormat="false" ht="15" hidden="false" customHeight="false" outlineLevel="0" collapsed="false">
      <c r="A338" s="2" t="n">
        <v>90936</v>
      </c>
      <c r="B338" s="2" t="s">
        <v>2678</v>
      </c>
      <c r="C338" s="2"/>
      <c r="D338" s="2" t="s">
        <v>1897</v>
      </c>
      <c r="E338" s="2" t="s">
        <v>117</v>
      </c>
      <c r="F338" s="2" t="s">
        <v>106</v>
      </c>
      <c r="G338" s="2" t="s">
        <v>39</v>
      </c>
      <c r="H338" s="2" t="s">
        <v>40</v>
      </c>
      <c r="I338" s="2" t="s">
        <v>40</v>
      </c>
      <c r="J338" s="2" t="s">
        <v>2679</v>
      </c>
      <c r="K338" s="2" t="s">
        <v>68</v>
      </c>
      <c r="L338" s="2" t="s">
        <v>43</v>
      </c>
      <c r="M338" s="2" t="s">
        <v>44</v>
      </c>
      <c r="N338" s="2"/>
      <c r="O338" s="2" t="n">
        <v>7.874689</v>
      </c>
      <c r="P338" s="2" t="n">
        <v>98.393695</v>
      </c>
      <c r="Q338" s="2"/>
      <c r="R338" s="2" t="s">
        <v>2680</v>
      </c>
      <c r="S338" s="2"/>
      <c r="T338" s="2"/>
      <c r="U338" s="2" t="s">
        <v>2681</v>
      </c>
      <c r="V338" s="2"/>
      <c r="W338" s="2" t="s">
        <v>1439</v>
      </c>
      <c r="X338" s="2"/>
      <c r="Y338" s="2" t="s">
        <v>48</v>
      </c>
      <c r="Z338" s="3" t="s">
        <v>2682</v>
      </c>
      <c r="AA338" s="2" t="s">
        <v>40</v>
      </c>
      <c r="AB338" s="2" t="s">
        <v>50</v>
      </c>
      <c r="AC338" s="2" t="n">
        <v>0</v>
      </c>
      <c r="AD338" s="2" t="n">
        <v>783</v>
      </c>
      <c r="AE338" s="2" t="n">
        <v>1</v>
      </c>
      <c r="AF338" s="2"/>
      <c r="AG338" s="2" t="s">
        <v>2683</v>
      </c>
      <c r="AH338" s="2" t="s">
        <v>2684</v>
      </c>
      <c r="AI338" s="2" t="n">
        <v>0</v>
      </c>
    </row>
    <row r="339" customFormat="false" ht="15" hidden="false" customHeight="false" outlineLevel="0" collapsed="false">
      <c r="A339" s="2" t="n">
        <v>91935</v>
      </c>
      <c r="B339" s="2" t="s">
        <v>2685</v>
      </c>
      <c r="C339" s="2"/>
      <c r="D339" s="2" t="s">
        <v>1897</v>
      </c>
      <c r="E339" s="2" t="s">
        <v>117</v>
      </c>
      <c r="F339" s="2" t="s">
        <v>38</v>
      </c>
      <c r="G339" s="2" t="s">
        <v>39</v>
      </c>
      <c r="H339" s="2" t="s">
        <v>40</v>
      </c>
      <c r="I339" s="2" t="s">
        <v>40</v>
      </c>
      <c r="J339" s="2" t="s">
        <v>590</v>
      </c>
      <c r="K339" s="2" t="s">
        <v>109</v>
      </c>
      <c r="L339" s="2" t="s">
        <v>109</v>
      </c>
      <c r="M339" s="2" t="s">
        <v>44</v>
      </c>
      <c r="N339" s="2"/>
      <c r="O339" s="2" t="n">
        <v>7.9169286</v>
      </c>
      <c r="P339" s="2" t="n">
        <v>98.3429903</v>
      </c>
      <c r="Q339" s="2"/>
      <c r="R339" s="2" t="s">
        <v>2686</v>
      </c>
      <c r="S339" s="2"/>
      <c r="T339" s="2"/>
      <c r="U339" s="2" t="s">
        <v>2687</v>
      </c>
      <c r="V339" s="2"/>
      <c r="W339" s="2" t="s">
        <v>452</v>
      </c>
      <c r="X339" s="2"/>
      <c r="Y339" s="2" t="s">
        <v>48</v>
      </c>
      <c r="Z339" s="3" t="s">
        <v>2688</v>
      </c>
      <c r="AA339" s="2" t="s">
        <v>40</v>
      </c>
      <c r="AB339" s="2" t="s">
        <v>50</v>
      </c>
      <c r="AC339" s="2" t="n">
        <v>0</v>
      </c>
      <c r="AD339" s="2" t="n">
        <v>546</v>
      </c>
      <c r="AE339" s="2" t="n">
        <v>0</v>
      </c>
      <c r="AF339" s="2"/>
      <c r="AG339" s="2" t="s">
        <v>2689</v>
      </c>
      <c r="AH339" s="2" t="s">
        <v>2690</v>
      </c>
      <c r="AI339" s="2" t="n">
        <v>0</v>
      </c>
    </row>
    <row r="340" customFormat="false" ht="15" hidden="false" customHeight="false" outlineLevel="0" collapsed="false">
      <c r="A340" s="2" t="n">
        <v>91275</v>
      </c>
      <c r="B340" s="2" t="s">
        <v>2691</v>
      </c>
      <c r="C340" s="2"/>
      <c r="D340" s="2" t="s">
        <v>236</v>
      </c>
      <c r="E340" s="2" t="s">
        <v>37</v>
      </c>
      <c r="F340" s="2" t="s">
        <v>106</v>
      </c>
      <c r="G340" s="2" t="s">
        <v>39</v>
      </c>
      <c r="H340" s="2" t="s">
        <v>40</v>
      </c>
      <c r="I340" s="2" t="s">
        <v>40</v>
      </c>
      <c r="J340" s="2" t="s">
        <v>879</v>
      </c>
      <c r="K340" s="2" t="s">
        <v>42</v>
      </c>
      <c r="L340" s="2" t="s">
        <v>43</v>
      </c>
      <c r="M340" s="2" t="s">
        <v>44</v>
      </c>
      <c r="N340" s="2"/>
      <c r="O340" s="2" t="n">
        <v>7.888324</v>
      </c>
      <c r="P340" s="2" t="n">
        <v>98.386956</v>
      </c>
      <c r="Q340" s="2"/>
      <c r="R340" s="2" t="s">
        <v>2692</v>
      </c>
      <c r="S340" s="2"/>
      <c r="T340" s="2"/>
      <c r="U340" s="2" t="s">
        <v>2693</v>
      </c>
      <c r="V340" s="2"/>
      <c r="W340" s="2" t="s">
        <v>249</v>
      </c>
      <c r="X340" s="2"/>
      <c r="Y340" s="2" t="s">
        <v>48</v>
      </c>
      <c r="Z340" s="3" t="s">
        <v>2694</v>
      </c>
      <c r="AA340" s="2" t="s">
        <v>40</v>
      </c>
      <c r="AB340" s="2" t="s">
        <v>50</v>
      </c>
      <c r="AC340" s="2" t="n">
        <v>0</v>
      </c>
      <c r="AD340" s="2" t="n">
        <v>804</v>
      </c>
      <c r="AE340" s="2" t="n">
        <v>1</v>
      </c>
      <c r="AF340" s="2"/>
      <c r="AG340" s="2" t="s">
        <v>2695</v>
      </c>
      <c r="AH340" s="2" t="s">
        <v>2696</v>
      </c>
      <c r="AI340" s="2" t="n">
        <v>0</v>
      </c>
    </row>
    <row r="341" customFormat="false" ht="15" hidden="false" customHeight="false" outlineLevel="0" collapsed="false">
      <c r="A341" s="2" t="n">
        <v>91393</v>
      </c>
      <c r="B341" s="2" t="s">
        <v>2697</v>
      </c>
      <c r="C341" s="2"/>
      <c r="D341" s="2" t="s">
        <v>236</v>
      </c>
      <c r="E341" s="2" t="s">
        <v>117</v>
      </c>
      <c r="F341" s="2" t="s">
        <v>38</v>
      </c>
      <c r="G341" s="2" t="s">
        <v>39</v>
      </c>
      <c r="H341" s="2" t="s">
        <v>40</v>
      </c>
      <c r="I341" s="2" t="s">
        <v>40</v>
      </c>
      <c r="J341" s="2" t="s">
        <v>2698</v>
      </c>
      <c r="K341" s="2" t="s">
        <v>78</v>
      </c>
      <c r="L341" s="2" t="s">
        <v>43</v>
      </c>
      <c r="M341" s="2" t="s">
        <v>44</v>
      </c>
      <c r="N341" s="2"/>
      <c r="O341" s="2" t="n">
        <v>7.886772</v>
      </c>
      <c r="P341" s="2" t="n">
        <v>98.374714</v>
      </c>
      <c r="Q341" s="2"/>
      <c r="R341" s="2" t="s">
        <v>2699</v>
      </c>
      <c r="S341" s="2"/>
      <c r="T341" s="2"/>
      <c r="U341" s="2" t="s">
        <v>2700</v>
      </c>
      <c r="V341" s="2"/>
      <c r="W341" s="2" t="s">
        <v>2701</v>
      </c>
      <c r="X341" s="2"/>
      <c r="Y341" s="2" t="s">
        <v>48</v>
      </c>
      <c r="Z341" s="3" t="s">
        <v>2702</v>
      </c>
      <c r="AA341" s="2" t="s">
        <v>40</v>
      </c>
      <c r="AB341" s="2" t="s">
        <v>50</v>
      </c>
      <c r="AC341" s="2" t="n">
        <v>0</v>
      </c>
      <c r="AD341" s="2" t="n">
        <v>596</v>
      </c>
      <c r="AE341" s="2" t="n">
        <v>1</v>
      </c>
      <c r="AF341" s="2"/>
      <c r="AG341" s="2" t="s">
        <v>2703</v>
      </c>
      <c r="AH341" s="2" t="s">
        <v>2704</v>
      </c>
      <c r="AI341" s="2" t="n">
        <v>0</v>
      </c>
    </row>
    <row r="342" customFormat="false" ht="15" hidden="false" customHeight="false" outlineLevel="0" collapsed="false">
      <c r="A342" s="2" t="n">
        <v>91344</v>
      </c>
      <c r="B342" s="2" t="s">
        <v>2705</v>
      </c>
      <c r="C342" s="2"/>
      <c r="D342" s="2" t="s">
        <v>2706</v>
      </c>
      <c r="E342" s="2" t="s">
        <v>37</v>
      </c>
      <c r="F342" s="2" t="s">
        <v>106</v>
      </c>
      <c r="G342" s="2" t="s">
        <v>39</v>
      </c>
      <c r="H342" s="2" t="s">
        <v>40</v>
      </c>
      <c r="I342" s="2" t="s">
        <v>40</v>
      </c>
      <c r="J342" s="2" t="s">
        <v>2707</v>
      </c>
      <c r="K342" s="2" t="s">
        <v>78</v>
      </c>
      <c r="L342" s="2" t="s">
        <v>43</v>
      </c>
      <c r="M342" s="2" t="s">
        <v>44</v>
      </c>
      <c r="N342" s="2"/>
      <c r="O342" s="2" t="n">
        <v>7.893284</v>
      </c>
      <c r="P342" s="2" t="n">
        <v>98.366192</v>
      </c>
      <c r="Q342" s="2"/>
      <c r="R342" s="2" t="s">
        <v>2708</v>
      </c>
      <c r="S342" s="2"/>
      <c r="T342" s="2"/>
      <c r="U342" s="2" t="s">
        <v>2709</v>
      </c>
      <c r="V342" s="2"/>
      <c r="W342" s="2" t="s">
        <v>318</v>
      </c>
      <c r="X342" s="2"/>
      <c r="Y342" s="2" t="s">
        <v>48</v>
      </c>
      <c r="Z342" s="3" t="s">
        <v>2710</v>
      </c>
      <c r="AA342" s="2" t="s">
        <v>40</v>
      </c>
      <c r="AB342" s="2" t="s">
        <v>50</v>
      </c>
      <c r="AC342" s="2" t="n">
        <v>0</v>
      </c>
      <c r="AD342" s="2" t="n">
        <v>728</v>
      </c>
      <c r="AE342" s="2" t="n">
        <v>1</v>
      </c>
      <c r="AF342" s="2"/>
      <c r="AG342" s="2" t="s">
        <v>2711</v>
      </c>
      <c r="AH342" s="2" t="s">
        <v>2712</v>
      </c>
      <c r="AI342" s="2" t="n">
        <v>0</v>
      </c>
    </row>
    <row r="343" customFormat="false" ht="15" hidden="false" customHeight="false" outlineLevel="0" collapsed="false">
      <c r="A343" s="2" t="n">
        <v>90867</v>
      </c>
      <c r="B343" s="2" t="s">
        <v>2713</v>
      </c>
      <c r="C343" s="2"/>
      <c r="D343" s="2" t="s">
        <v>2714</v>
      </c>
      <c r="E343" s="2" t="s">
        <v>37</v>
      </c>
      <c r="F343" s="2" t="s">
        <v>106</v>
      </c>
      <c r="G343" s="2" t="s">
        <v>39</v>
      </c>
      <c r="H343" s="2" t="s">
        <v>40</v>
      </c>
      <c r="I343" s="2" t="s">
        <v>40</v>
      </c>
      <c r="J343" s="2" t="s">
        <v>289</v>
      </c>
      <c r="K343" s="2" t="s">
        <v>109</v>
      </c>
      <c r="L343" s="2" t="s">
        <v>109</v>
      </c>
      <c r="M343" s="2" t="s">
        <v>44</v>
      </c>
      <c r="N343" s="2"/>
      <c r="O343" s="2" t="n">
        <v>7.8996157</v>
      </c>
      <c r="P343" s="2" t="n">
        <v>98.3552589</v>
      </c>
      <c r="Q343" s="2"/>
      <c r="R343" s="2" t="s">
        <v>2715</v>
      </c>
      <c r="S343" s="2"/>
      <c r="T343" s="2"/>
      <c r="U343" s="2" t="s">
        <v>2716</v>
      </c>
      <c r="V343" s="2"/>
      <c r="W343" s="2" t="s">
        <v>161</v>
      </c>
      <c r="X343" s="2"/>
      <c r="Y343" s="2" t="s">
        <v>48</v>
      </c>
      <c r="Z343" s="3" t="s">
        <v>2717</v>
      </c>
      <c r="AA343" s="2" t="s">
        <v>40</v>
      </c>
      <c r="AB343" s="2" t="s">
        <v>50</v>
      </c>
      <c r="AC343" s="2" t="n">
        <v>0</v>
      </c>
      <c r="AD343" s="2" t="n">
        <v>565</v>
      </c>
      <c r="AE343" s="2" t="n">
        <v>0</v>
      </c>
      <c r="AF343" s="2"/>
      <c r="AG343" s="2" t="s">
        <v>2718</v>
      </c>
      <c r="AH343" s="2" t="s">
        <v>2719</v>
      </c>
      <c r="AI343" s="2" t="n">
        <v>0</v>
      </c>
    </row>
    <row r="344" customFormat="false" ht="15" hidden="false" customHeight="false" outlineLevel="0" collapsed="false">
      <c r="A344" s="2" t="n">
        <v>90901</v>
      </c>
      <c r="B344" s="2" t="s">
        <v>2720</v>
      </c>
      <c r="C344" s="2"/>
      <c r="D344" s="2" t="s">
        <v>2721</v>
      </c>
      <c r="E344" s="2" t="s">
        <v>55</v>
      </c>
      <c r="F344" s="2" t="s">
        <v>129</v>
      </c>
      <c r="G344" s="2" t="s">
        <v>39</v>
      </c>
      <c r="H344" s="2" t="s">
        <v>40</v>
      </c>
      <c r="I344" s="2" t="s">
        <v>40</v>
      </c>
      <c r="J344" s="2" t="s">
        <v>2333</v>
      </c>
      <c r="K344" s="2" t="s">
        <v>68</v>
      </c>
      <c r="L344" s="2" t="s">
        <v>43</v>
      </c>
      <c r="M344" s="2" t="s">
        <v>44</v>
      </c>
      <c r="N344" s="2"/>
      <c r="O344" s="2" t="n">
        <v>7.87971</v>
      </c>
      <c r="P344" s="2" t="n">
        <v>98.39417</v>
      </c>
      <c r="Q344" s="2" t="s">
        <v>2722</v>
      </c>
      <c r="R344" s="2"/>
      <c r="S344" s="2"/>
      <c r="T344" s="2"/>
      <c r="U344" s="2" t="s">
        <v>2723</v>
      </c>
      <c r="V344" s="2"/>
      <c r="W344" s="2" t="s">
        <v>2724</v>
      </c>
      <c r="X344" s="2"/>
      <c r="Y344" s="2" t="s">
        <v>48</v>
      </c>
      <c r="Z344" s="3" t="s">
        <v>2725</v>
      </c>
      <c r="AA344" s="2" t="s">
        <v>40</v>
      </c>
      <c r="AB344" s="2" t="s">
        <v>50</v>
      </c>
      <c r="AC344" s="2" t="n">
        <v>0</v>
      </c>
      <c r="AD344" s="2" t="n">
        <v>697</v>
      </c>
      <c r="AE344" s="2" t="n">
        <v>0</v>
      </c>
      <c r="AF344" s="2"/>
      <c r="AG344" s="2" t="s">
        <v>2726</v>
      </c>
      <c r="AH344" s="2" t="s">
        <v>2727</v>
      </c>
      <c r="AI344" s="2" t="n">
        <v>0</v>
      </c>
    </row>
    <row r="345" customFormat="false" ht="15" hidden="false" customHeight="false" outlineLevel="0" collapsed="false">
      <c r="A345" s="2" t="n">
        <v>90938</v>
      </c>
      <c r="B345" s="2" t="s">
        <v>2728</v>
      </c>
      <c r="C345" s="2"/>
      <c r="D345" s="2" t="s">
        <v>2201</v>
      </c>
      <c r="E345" s="2" t="s">
        <v>55</v>
      </c>
      <c r="F345" s="2" t="s">
        <v>38</v>
      </c>
      <c r="G345" s="2" t="s">
        <v>39</v>
      </c>
      <c r="H345" s="2" t="s">
        <v>40</v>
      </c>
      <c r="I345" s="2" t="s">
        <v>40</v>
      </c>
      <c r="J345" s="2" t="s">
        <v>2707</v>
      </c>
      <c r="K345" s="2" t="s">
        <v>78</v>
      </c>
      <c r="L345" s="2" t="s">
        <v>43</v>
      </c>
      <c r="M345" s="2" t="s">
        <v>44</v>
      </c>
      <c r="N345" s="2"/>
      <c r="O345" s="2" t="n">
        <v>7.873465</v>
      </c>
      <c r="P345" s="2" t="n">
        <v>98.348809</v>
      </c>
      <c r="Q345" s="2"/>
      <c r="R345" s="2" t="s">
        <v>2729</v>
      </c>
      <c r="S345" s="2"/>
      <c r="T345" s="2"/>
      <c r="U345" s="2" t="s">
        <v>2730</v>
      </c>
      <c r="V345" s="2"/>
      <c r="W345" s="2" t="s">
        <v>179</v>
      </c>
      <c r="X345" s="2"/>
      <c r="Y345" s="2" t="s">
        <v>48</v>
      </c>
      <c r="Z345" s="3" t="s">
        <v>2731</v>
      </c>
      <c r="AA345" s="2" t="s">
        <v>40</v>
      </c>
      <c r="AB345" s="2" t="s">
        <v>50</v>
      </c>
      <c r="AC345" s="2" t="n">
        <v>0</v>
      </c>
      <c r="AD345" s="2" t="n">
        <v>765</v>
      </c>
      <c r="AE345" s="2" t="n">
        <v>0</v>
      </c>
      <c r="AF345" s="2"/>
      <c r="AG345" s="2" t="s">
        <v>2732</v>
      </c>
      <c r="AH345" s="2" t="s">
        <v>2733</v>
      </c>
      <c r="AI345" s="2" t="n">
        <v>0</v>
      </c>
    </row>
    <row r="346" customFormat="false" ht="15" hidden="false" customHeight="false" outlineLevel="0" collapsed="false">
      <c r="A346" s="2" t="n">
        <v>91327</v>
      </c>
      <c r="B346" s="2" t="s">
        <v>2734</v>
      </c>
      <c r="C346" s="2"/>
      <c r="D346" s="2" t="s">
        <v>2735</v>
      </c>
      <c r="E346" s="2" t="s">
        <v>55</v>
      </c>
      <c r="F346" s="2" t="s">
        <v>129</v>
      </c>
      <c r="G346" s="2" t="s">
        <v>39</v>
      </c>
      <c r="H346" s="2" t="s">
        <v>40</v>
      </c>
      <c r="I346" s="2" t="s">
        <v>40</v>
      </c>
      <c r="J346" s="2" t="s">
        <v>555</v>
      </c>
      <c r="K346" s="2" t="s">
        <v>474</v>
      </c>
      <c r="L346" s="2" t="s">
        <v>43</v>
      </c>
      <c r="M346" s="2" t="s">
        <v>44</v>
      </c>
      <c r="N346" s="2"/>
      <c r="O346" s="2" t="n">
        <v>7.8487449</v>
      </c>
      <c r="P346" s="2" t="n">
        <v>98.3518821</v>
      </c>
      <c r="Q346" s="2"/>
      <c r="R346" s="2" t="s">
        <v>2736</v>
      </c>
      <c r="S346" s="2"/>
      <c r="T346" s="2"/>
      <c r="U346" s="2" t="s">
        <v>2737</v>
      </c>
      <c r="V346" s="2"/>
      <c r="W346" s="2" t="s">
        <v>1395</v>
      </c>
      <c r="X346" s="2"/>
      <c r="Y346" s="2" t="s">
        <v>48</v>
      </c>
      <c r="Z346" s="3" t="s">
        <v>2738</v>
      </c>
      <c r="AA346" s="2" t="s">
        <v>40</v>
      </c>
      <c r="AB346" s="2" t="s">
        <v>50</v>
      </c>
      <c r="AC346" s="2" t="n">
        <v>0</v>
      </c>
      <c r="AD346" s="2" t="n">
        <v>824</v>
      </c>
      <c r="AE346" s="2" t="n">
        <v>0</v>
      </c>
      <c r="AF346" s="2"/>
      <c r="AG346" s="2" t="s">
        <v>2739</v>
      </c>
      <c r="AH346" s="2" t="s">
        <v>2740</v>
      </c>
      <c r="AI346" s="2" t="n">
        <v>0</v>
      </c>
    </row>
    <row r="347" customFormat="false" ht="15" hidden="false" customHeight="false" outlineLevel="0" collapsed="false">
      <c r="A347" s="2" t="n">
        <v>90859</v>
      </c>
      <c r="B347" s="2" t="s">
        <v>2741</v>
      </c>
      <c r="C347" s="2"/>
      <c r="D347" s="2" t="s">
        <v>2742</v>
      </c>
      <c r="E347" s="2" t="s">
        <v>37</v>
      </c>
      <c r="F347" s="2" t="s">
        <v>106</v>
      </c>
      <c r="G347" s="2" t="s">
        <v>39</v>
      </c>
      <c r="H347" s="2" t="s">
        <v>40</v>
      </c>
      <c r="I347" s="2" t="s">
        <v>40</v>
      </c>
      <c r="J347" s="2" t="s">
        <v>679</v>
      </c>
      <c r="K347" s="2" t="s">
        <v>78</v>
      </c>
      <c r="L347" s="2" t="s">
        <v>43</v>
      </c>
      <c r="M347" s="2" t="s">
        <v>44</v>
      </c>
      <c r="N347" s="2"/>
      <c r="O347" s="2" t="n">
        <v>7.86933</v>
      </c>
      <c r="P347" s="2" t="n">
        <v>98.357585</v>
      </c>
      <c r="Q347" s="2"/>
      <c r="R347" s="2" t="s">
        <v>2743</v>
      </c>
      <c r="S347" s="2"/>
      <c r="T347" s="2"/>
      <c r="U347" s="2" t="s">
        <v>2744</v>
      </c>
      <c r="V347" s="2"/>
      <c r="W347" s="2" t="s">
        <v>292</v>
      </c>
      <c r="X347" s="2"/>
      <c r="Y347" s="2" t="s">
        <v>48</v>
      </c>
      <c r="Z347" s="3" t="s">
        <v>2745</v>
      </c>
      <c r="AA347" s="2" t="s">
        <v>40</v>
      </c>
      <c r="AB347" s="2" t="s">
        <v>50</v>
      </c>
      <c r="AC347" s="2" t="n">
        <v>0</v>
      </c>
      <c r="AD347" s="2" t="n">
        <v>739</v>
      </c>
      <c r="AE347" s="2" t="n">
        <v>1</v>
      </c>
      <c r="AF347" s="2"/>
      <c r="AG347" s="2" t="s">
        <v>2746</v>
      </c>
      <c r="AH347" s="2" t="s">
        <v>2747</v>
      </c>
      <c r="AI347" s="2" t="n">
        <v>0</v>
      </c>
    </row>
    <row r="348" customFormat="false" ht="15" hidden="false" customHeight="false" outlineLevel="0" collapsed="false">
      <c r="A348" s="2" t="n">
        <v>91425</v>
      </c>
      <c r="B348" s="2" t="s">
        <v>2748</v>
      </c>
      <c r="C348" s="2"/>
      <c r="D348" s="2" t="s">
        <v>2749</v>
      </c>
      <c r="E348" s="2" t="s">
        <v>55</v>
      </c>
      <c r="F348" s="2" t="s">
        <v>106</v>
      </c>
      <c r="G348" s="2" t="s">
        <v>39</v>
      </c>
      <c r="H348" s="2" t="s">
        <v>40</v>
      </c>
      <c r="I348" s="2" t="s">
        <v>40</v>
      </c>
      <c r="J348" s="2" t="s">
        <v>1247</v>
      </c>
      <c r="K348" s="2" t="s">
        <v>68</v>
      </c>
      <c r="L348" s="2" t="s">
        <v>43</v>
      </c>
      <c r="M348" s="2" t="s">
        <v>44</v>
      </c>
      <c r="N348" s="2"/>
      <c r="O348" s="2" t="n">
        <v>7.886417</v>
      </c>
      <c r="P348" s="2" t="n">
        <v>98.39194</v>
      </c>
      <c r="Q348" s="2"/>
      <c r="R348" s="2" t="s">
        <v>2750</v>
      </c>
      <c r="S348" s="2"/>
      <c r="T348" s="2"/>
      <c r="U348" s="2" t="s">
        <v>2751</v>
      </c>
      <c r="V348" s="2"/>
      <c r="W348" s="2" t="s">
        <v>292</v>
      </c>
      <c r="X348" s="2"/>
      <c r="Y348" s="2" t="s">
        <v>48</v>
      </c>
      <c r="Z348" s="3" t="s">
        <v>2752</v>
      </c>
      <c r="AA348" s="2" t="s">
        <v>40</v>
      </c>
      <c r="AB348" s="2" t="s">
        <v>50</v>
      </c>
      <c r="AC348" s="2" t="n">
        <v>0</v>
      </c>
      <c r="AD348" s="2" t="n">
        <v>947</v>
      </c>
      <c r="AE348" s="2" t="n">
        <v>0</v>
      </c>
      <c r="AF348" s="2"/>
      <c r="AG348" s="2" t="s">
        <v>2753</v>
      </c>
      <c r="AH348" s="2" t="s">
        <v>2754</v>
      </c>
      <c r="AI348" s="2" t="n">
        <v>0</v>
      </c>
    </row>
    <row r="349" customFormat="false" ht="15" hidden="false" customHeight="false" outlineLevel="0" collapsed="false">
      <c r="A349" s="2" t="n">
        <v>91793</v>
      </c>
      <c r="B349" s="2" t="s">
        <v>2755</v>
      </c>
      <c r="C349" s="2"/>
      <c r="D349" s="2" t="s">
        <v>2388</v>
      </c>
      <c r="E349" s="2" t="s">
        <v>37</v>
      </c>
      <c r="F349" s="2" t="s">
        <v>38</v>
      </c>
      <c r="G349" s="2" t="s">
        <v>39</v>
      </c>
      <c r="H349" s="2" t="s">
        <v>40</v>
      </c>
      <c r="I349" s="2" t="s">
        <v>40</v>
      </c>
      <c r="J349" s="2" t="s">
        <v>1216</v>
      </c>
      <c r="K349" s="2" t="s">
        <v>474</v>
      </c>
      <c r="L349" s="2" t="s">
        <v>43</v>
      </c>
      <c r="M349" s="2" t="s">
        <v>44</v>
      </c>
      <c r="N349" s="2"/>
      <c r="O349" s="2" t="n">
        <v>7.8408051</v>
      </c>
      <c r="P349" s="2" t="n">
        <v>98.3637341</v>
      </c>
      <c r="Q349" s="2" t="s">
        <v>2756</v>
      </c>
      <c r="R349" s="2"/>
      <c r="S349" s="2"/>
      <c r="T349" s="2"/>
      <c r="U349" s="2" t="s">
        <v>2757</v>
      </c>
      <c r="V349" s="2"/>
      <c r="W349" s="2" t="s">
        <v>2758</v>
      </c>
      <c r="X349" s="2"/>
      <c r="Y349" s="2" t="s">
        <v>48</v>
      </c>
      <c r="Z349" s="3" t="s">
        <v>2759</v>
      </c>
      <c r="AA349" s="2" t="s">
        <v>40</v>
      </c>
      <c r="AB349" s="2" t="s">
        <v>50</v>
      </c>
      <c r="AC349" s="2" t="n">
        <v>0</v>
      </c>
      <c r="AD349" s="2" t="n">
        <v>703</v>
      </c>
      <c r="AE349" s="2" t="n">
        <v>1</v>
      </c>
      <c r="AF349" s="2"/>
      <c r="AG349" s="2" t="s">
        <v>2760</v>
      </c>
      <c r="AH349" s="2" t="s">
        <v>2761</v>
      </c>
      <c r="AI349" s="2" t="n">
        <v>0</v>
      </c>
    </row>
    <row r="350" customFormat="false" ht="15" hidden="false" customHeight="false" outlineLevel="0" collapsed="false">
      <c r="A350" s="2" t="n">
        <v>91420</v>
      </c>
      <c r="B350" s="2" t="s">
        <v>2762</v>
      </c>
      <c r="C350" s="2"/>
      <c r="D350" s="2" t="s">
        <v>236</v>
      </c>
      <c r="E350" s="2" t="s">
        <v>37</v>
      </c>
      <c r="F350" s="2" t="s">
        <v>129</v>
      </c>
      <c r="G350" s="2" t="s">
        <v>39</v>
      </c>
      <c r="H350" s="2" t="s">
        <v>40</v>
      </c>
      <c r="I350" s="2" t="s">
        <v>40</v>
      </c>
      <c r="J350" s="2" t="s">
        <v>158</v>
      </c>
      <c r="K350" s="2" t="s">
        <v>78</v>
      </c>
      <c r="L350" s="2" t="s">
        <v>43</v>
      </c>
      <c r="M350" s="2" t="s">
        <v>44</v>
      </c>
      <c r="N350" s="2"/>
      <c r="O350" s="2" t="n">
        <v>7.880975</v>
      </c>
      <c r="P350" s="2" t="n">
        <v>98.371077</v>
      </c>
      <c r="Q350" s="2"/>
      <c r="R350" s="2" t="s">
        <v>2763</v>
      </c>
      <c r="S350" s="2"/>
      <c r="T350" s="2"/>
      <c r="U350" s="2" t="s">
        <v>2764</v>
      </c>
      <c r="V350" s="2"/>
      <c r="W350" s="2" t="s">
        <v>152</v>
      </c>
      <c r="X350" s="2"/>
      <c r="Y350" s="2" t="s">
        <v>48</v>
      </c>
      <c r="Z350" s="3" t="s">
        <v>2765</v>
      </c>
      <c r="AA350" s="2" t="s">
        <v>40</v>
      </c>
      <c r="AB350" s="2" t="s">
        <v>50</v>
      </c>
      <c r="AC350" s="2" t="n">
        <v>0</v>
      </c>
      <c r="AD350" s="2" t="n">
        <v>672</v>
      </c>
      <c r="AE350" s="2" t="n">
        <v>0</v>
      </c>
      <c r="AF350" s="2"/>
      <c r="AG350" s="2" t="s">
        <v>2766</v>
      </c>
      <c r="AH350" s="2" t="s">
        <v>2767</v>
      </c>
      <c r="AI350" s="2" t="n">
        <v>0</v>
      </c>
    </row>
    <row r="351" customFormat="false" ht="15" hidden="false" customHeight="false" outlineLevel="0" collapsed="false">
      <c r="A351" s="2" t="n">
        <v>91469</v>
      </c>
      <c r="B351" s="2" t="s">
        <v>2768</v>
      </c>
      <c r="C351" s="2"/>
      <c r="D351" s="2" t="s">
        <v>2769</v>
      </c>
      <c r="E351" s="2" t="s">
        <v>37</v>
      </c>
      <c r="F351" s="2" t="s">
        <v>106</v>
      </c>
      <c r="G351" s="2" t="s">
        <v>39</v>
      </c>
      <c r="H351" s="2" t="s">
        <v>40</v>
      </c>
      <c r="I351" s="2" t="s">
        <v>40</v>
      </c>
      <c r="J351" s="2" t="s">
        <v>2770</v>
      </c>
      <c r="K351" s="2" t="s">
        <v>42</v>
      </c>
      <c r="L351" s="2" t="s">
        <v>43</v>
      </c>
      <c r="M351" s="2" t="s">
        <v>44</v>
      </c>
      <c r="N351" s="2"/>
      <c r="O351" s="2" t="n">
        <v>7.883961</v>
      </c>
      <c r="P351" s="2" t="n">
        <v>98.3831663</v>
      </c>
      <c r="Q351" s="2"/>
      <c r="R351" s="2" t="s">
        <v>2771</v>
      </c>
      <c r="S351" s="2"/>
      <c r="T351" s="2"/>
      <c r="U351" s="2" t="s">
        <v>2772</v>
      </c>
      <c r="V351" s="2"/>
      <c r="W351" s="2" t="s">
        <v>2773</v>
      </c>
      <c r="X351" s="2"/>
      <c r="Y351" s="2" t="s">
        <v>48</v>
      </c>
      <c r="Z351" s="3" t="s">
        <v>2774</v>
      </c>
      <c r="AA351" s="2" t="s">
        <v>40</v>
      </c>
      <c r="AB351" s="2" t="s">
        <v>50</v>
      </c>
      <c r="AC351" s="2" t="n">
        <v>0</v>
      </c>
      <c r="AD351" s="2" t="n">
        <v>771</v>
      </c>
      <c r="AE351" s="2" t="n">
        <v>1</v>
      </c>
      <c r="AF351" s="2"/>
      <c r="AG351" s="2" t="s">
        <v>2775</v>
      </c>
      <c r="AH351" s="2" t="s">
        <v>2776</v>
      </c>
      <c r="AI351" s="2" t="n">
        <v>0</v>
      </c>
    </row>
    <row r="352" customFormat="false" ht="15" hidden="false" customHeight="false" outlineLevel="0" collapsed="false">
      <c r="A352" s="2" t="n">
        <v>91427</v>
      </c>
      <c r="B352" s="2" t="s">
        <v>2777</v>
      </c>
      <c r="C352" s="2"/>
      <c r="D352" s="2" t="s">
        <v>2778</v>
      </c>
      <c r="E352" s="2" t="s">
        <v>117</v>
      </c>
      <c r="F352" s="2" t="s">
        <v>38</v>
      </c>
      <c r="G352" s="2" t="s">
        <v>39</v>
      </c>
      <c r="H352" s="2" t="s">
        <v>40</v>
      </c>
      <c r="I352" s="2" t="s">
        <v>40</v>
      </c>
      <c r="J352" s="2" t="s">
        <v>2540</v>
      </c>
      <c r="K352" s="2" t="s">
        <v>78</v>
      </c>
      <c r="L352" s="2" t="s">
        <v>43</v>
      </c>
      <c r="M352" s="2" t="s">
        <v>44</v>
      </c>
      <c r="N352" s="2"/>
      <c r="O352" s="2" t="n">
        <v>7.90739</v>
      </c>
      <c r="P352" s="2" t="n">
        <v>98.402662</v>
      </c>
      <c r="Q352" s="2"/>
      <c r="R352" s="2" t="s">
        <v>2779</v>
      </c>
      <c r="S352" s="2"/>
      <c r="T352" s="2"/>
      <c r="U352" s="2" t="s">
        <v>2780</v>
      </c>
      <c r="V352" s="2"/>
      <c r="W352" s="2" t="s">
        <v>2781</v>
      </c>
      <c r="X352" s="2"/>
      <c r="Y352" s="2" t="s">
        <v>48</v>
      </c>
      <c r="Z352" s="3" t="s">
        <v>2782</v>
      </c>
      <c r="AA352" s="2" t="s">
        <v>40</v>
      </c>
      <c r="AB352" s="2" t="s">
        <v>50</v>
      </c>
      <c r="AC352" s="2" t="n">
        <v>0</v>
      </c>
      <c r="AD352" s="2" t="n">
        <v>723</v>
      </c>
      <c r="AE352" s="2" t="n">
        <v>0</v>
      </c>
      <c r="AF352" s="2"/>
      <c r="AG352" s="2" t="s">
        <v>2783</v>
      </c>
      <c r="AH352" s="2" t="s">
        <v>2784</v>
      </c>
      <c r="AI352" s="2" t="n">
        <v>0</v>
      </c>
    </row>
    <row r="353" customFormat="false" ht="15" hidden="false" customHeight="false" outlineLevel="0" collapsed="false">
      <c r="A353" s="2" t="n">
        <v>90850</v>
      </c>
      <c r="B353" s="2" t="s">
        <v>2785</v>
      </c>
      <c r="C353" s="2"/>
      <c r="D353" s="2" t="s">
        <v>2786</v>
      </c>
      <c r="E353" s="2" t="s">
        <v>37</v>
      </c>
      <c r="F353" s="2" t="s">
        <v>38</v>
      </c>
      <c r="G353" s="2" t="s">
        <v>39</v>
      </c>
      <c r="H353" s="2" t="s">
        <v>40</v>
      </c>
      <c r="I353" s="2" t="s">
        <v>40</v>
      </c>
      <c r="J353" s="2" t="s">
        <v>2787</v>
      </c>
      <c r="K353" s="2" t="s">
        <v>474</v>
      </c>
      <c r="L353" s="2" t="s">
        <v>43</v>
      </c>
      <c r="M353" s="2" t="s">
        <v>44</v>
      </c>
      <c r="N353" s="2"/>
      <c r="O353" s="2" t="n">
        <v>7.8464029</v>
      </c>
      <c r="P353" s="2" t="n">
        <v>98.3386392</v>
      </c>
      <c r="Q353" s="2" t="s">
        <v>2788</v>
      </c>
      <c r="R353" s="2"/>
      <c r="S353" s="2"/>
      <c r="T353" s="2"/>
      <c r="U353" s="2" t="s">
        <v>2789</v>
      </c>
      <c r="V353" s="2"/>
      <c r="W353" s="2" t="s">
        <v>292</v>
      </c>
      <c r="X353" s="2"/>
      <c r="Y353" s="2" t="s">
        <v>48</v>
      </c>
      <c r="Z353" s="3" t="s">
        <v>2790</v>
      </c>
      <c r="AA353" s="2" t="s">
        <v>40</v>
      </c>
      <c r="AB353" s="2" t="s">
        <v>50</v>
      </c>
      <c r="AC353" s="2" t="n">
        <v>0</v>
      </c>
      <c r="AD353" s="2" t="n">
        <v>682</v>
      </c>
      <c r="AE353" s="2" t="n">
        <v>1</v>
      </c>
      <c r="AF353" s="2"/>
      <c r="AG353" s="2" t="s">
        <v>2791</v>
      </c>
      <c r="AH353" s="2" t="s">
        <v>2792</v>
      </c>
      <c r="AI353" s="2" t="n">
        <v>0</v>
      </c>
    </row>
    <row r="354" customFormat="false" ht="15" hidden="false" customHeight="false" outlineLevel="0" collapsed="false">
      <c r="A354" s="2" t="n">
        <v>90882</v>
      </c>
      <c r="B354" s="2" t="s">
        <v>2793</v>
      </c>
      <c r="C354" s="2"/>
      <c r="D354" s="2" t="s">
        <v>2119</v>
      </c>
      <c r="E354" s="2" t="s">
        <v>117</v>
      </c>
      <c r="F354" s="2" t="s">
        <v>38</v>
      </c>
      <c r="G354" s="2" t="s">
        <v>39</v>
      </c>
      <c r="H354" s="2" t="s">
        <v>40</v>
      </c>
      <c r="I354" s="2" t="s">
        <v>40</v>
      </c>
      <c r="J354" s="2" t="s">
        <v>719</v>
      </c>
      <c r="K354" s="2" t="s">
        <v>68</v>
      </c>
      <c r="L354" s="2" t="s">
        <v>43</v>
      </c>
      <c r="M354" s="2" t="s">
        <v>44</v>
      </c>
      <c r="N354" s="2"/>
      <c r="O354" s="2" t="n">
        <v>7.8835975</v>
      </c>
      <c r="P354" s="2" t="n">
        <v>98.397303</v>
      </c>
      <c r="Q354" s="2" t="s">
        <v>2794</v>
      </c>
      <c r="R354" s="2"/>
      <c r="S354" s="2"/>
      <c r="T354" s="2"/>
      <c r="U354" s="2" t="s">
        <v>2795</v>
      </c>
      <c r="V354" s="2"/>
      <c r="W354" s="2" t="s">
        <v>2796</v>
      </c>
      <c r="X354" s="2"/>
      <c r="Y354" s="2" t="s">
        <v>48</v>
      </c>
      <c r="Z354" s="3" t="s">
        <v>2797</v>
      </c>
      <c r="AA354" s="2" t="s">
        <v>40</v>
      </c>
      <c r="AB354" s="2" t="s">
        <v>50</v>
      </c>
      <c r="AC354" s="2" t="n">
        <v>0</v>
      </c>
      <c r="AD354" s="2" t="n">
        <v>712</v>
      </c>
      <c r="AE354" s="2" t="n">
        <v>0</v>
      </c>
      <c r="AF354" s="2"/>
      <c r="AG354" s="2" t="s">
        <v>2798</v>
      </c>
      <c r="AH354" s="2" t="s">
        <v>2799</v>
      </c>
      <c r="AI354" s="2" t="n">
        <v>0</v>
      </c>
    </row>
    <row r="355" customFormat="false" ht="15" hidden="false" customHeight="false" outlineLevel="0" collapsed="false">
      <c r="A355" s="2" t="n">
        <v>90808</v>
      </c>
      <c r="B355" s="2" t="s">
        <v>2800</v>
      </c>
      <c r="C355" s="2"/>
      <c r="D355" s="2" t="s">
        <v>589</v>
      </c>
      <c r="E355" s="2" t="s">
        <v>37</v>
      </c>
      <c r="F355" s="2" t="s">
        <v>38</v>
      </c>
      <c r="G355" s="2" t="s">
        <v>39</v>
      </c>
      <c r="H355" s="2" t="s">
        <v>40</v>
      </c>
      <c r="I355" s="2" t="s">
        <v>40</v>
      </c>
      <c r="J355" s="2" t="s">
        <v>2026</v>
      </c>
      <c r="K355" s="2" t="s">
        <v>78</v>
      </c>
      <c r="L355" s="2" t="s">
        <v>43</v>
      </c>
      <c r="M355" s="2" t="s">
        <v>44</v>
      </c>
      <c r="N355" s="2"/>
      <c r="O355" s="2" t="n">
        <v>7.900787</v>
      </c>
      <c r="P355" s="2" t="n">
        <v>98.403145</v>
      </c>
      <c r="Q355" s="2"/>
      <c r="R355" s="2" t="s">
        <v>2801</v>
      </c>
      <c r="S355" s="2"/>
      <c r="T355" s="2"/>
      <c r="U355" s="2" t="s">
        <v>2802</v>
      </c>
      <c r="V355" s="2"/>
      <c r="W355" s="2" t="s">
        <v>152</v>
      </c>
      <c r="X355" s="2"/>
      <c r="Y355" s="2" t="s">
        <v>48</v>
      </c>
      <c r="Z355" s="3" t="s">
        <v>2803</v>
      </c>
      <c r="AA355" s="2" t="s">
        <v>40</v>
      </c>
      <c r="AB355" s="2" t="s">
        <v>50</v>
      </c>
      <c r="AC355" s="2" t="n">
        <v>0</v>
      </c>
      <c r="AD355" s="2" t="n">
        <v>682</v>
      </c>
      <c r="AE355" s="2" t="n">
        <v>0</v>
      </c>
      <c r="AF355" s="2"/>
      <c r="AG355" s="2" t="s">
        <v>2804</v>
      </c>
      <c r="AH355" s="2" t="s">
        <v>2805</v>
      </c>
      <c r="AI355" s="2" t="n">
        <v>0</v>
      </c>
    </row>
    <row r="356" customFormat="false" ht="15" hidden="false" customHeight="false" outlineLevel="0" collapsed="false">
      <c r="A356" s="2" t="n">
        <v>90947</v>
      </c>
      <c r="B356" s="2" t="s">
        <v>2806</v>
      </c>
      <c r="C356" s="2"/>
      <c r="D356" s="2" t="s">
        <v>2807</v>
      </c>
      <c r="E356" s="2" t="s">
        <v>117</v>
      </c>
      <c r="F356" s="2" t="s">
        <v>38</v>
      </c>
      <c r="G356" s="2" t="s">
        <v>39</v>
      </c>
      <c r="H356" s="2" t="s">
        <v>40</v>
      </c>
      <c r="I356" s="2" t="s">
        <v>40</v>
      </c>
      <c r="J356" s="2" t="s">
        <v>767</v>
      </c>
      <c r="K356" s="2" t="s">
        <v>42</v>
      </c>
      <c r="L356" s="2" t="s">
        <v>43</v>
      </c>
      <c r="M356" s="2" t="s">
        <v>44</v>
      </c>
      <c r="N356" s="2"/>
      <c r="O356" s="2" t="n">
        <v>7.880403</v>
      </c>
      <c r="P356" s="2" t="n">
        <v>98.385458</v>
      </c>
      <c r="Q356" s="2"/>
      <c r="R356" s="2" t="s">
        <v>2808</v>
      </c>
      <c r="S356" s="2"/>
      <c r="T356" s="2"/>
      <c r="U356" s="2" t="s">
        <v>2809</v>
      </c>
      <c r="V356" s="2"/>
      <c r="W356" s="2" t="s">
        <v>2810</v>
      </c>
      <c r="X356" s="2"/>
      <c r="Y356" s="2" t="s">
        <v>48</v>
      </c>
      <c r="Z356" s="3" t="s">
        <v>2811</v>
      </c>
      <c r="AA356" s="2" t="s">
        <v>40</v>
      </c>
      <c r="AB356" s="2" t="s">
        <v>50</v>
      </c>
      <c r="AC356" s="2" t="n">
        <v>0</v>
      </c>
      <c r="AD356" s="2" t="n">
        <v>821</v>
      </c>
      <c r="AE356" s="2" t="n">
        <v>0</v>
      </c>
      <c r="AF356" s="2"/>
      <c r="AG356" s="2" t="s">
        <v>2812</v>
      </c>
      <c r="AH356" s="2" t="s">
        <v>2813</v>
      </c>
      <c r="AI356" s="2" t="n">
        <v>0</v>
      </c>
    </row>
    <row r="357" customFormat="false" ht="15" hidden="false" customHeight="false" outlineLevel="0" collapsed="false">
      <c r="A357" s="2" t="n">
        <v>91334</v>
      </c>
      <c r="B357" s="2" t="s">
        <v>2814</v>
      </c>
      <c r="C357" s="2"/>
      <c r="D357" s="2" t="s">
        <v>2192</v>
      </c>
      <c r="E357" s="2" t="s">
        <v>37</v>
      </c>
      <c r="F357" s="2" t="s">
        <v>38</v>
      </c>
      <c r="G357" s="2" t="s">
        <v>39</v>
      </c>
      <c r="H357" s="2" t="s">
        <v>40</v>
      </c>
      <c r="I357" s="2" t="s">
        <v>40</v>
      </c>
      <c r="J357" s="2" t="s">
        <v>782</v>
      </c>
      <c r="K357" s="2" t="s">
        <v>474</v>
      </c>
      <c r="L357" s="2" t="s">
        <v>43</v>
      </c>
      <c r="M357" s="2" t="s">
        <v>44</v>
      </c>
      <c r="N357" s="2"/>
      <c r="O357" s="2" t="n">
        <v>7.831276</v>
      </c>
      <c r="P357" s="2" t="n">
        <v>98.3396988</v>
      </c>
      <c r="Q357" s="2"/>
      <c r="R357" s="2" t="s">
        <v>2815</v>
      </c>
      <c r="S357" s="2"/>
      <c r="T357" s="2"/>
      <c r="U357" s="2" t="s">
        <v>2816</v>
      </c>
      <c r="V357" s="2"/>
      <c r="W357" s="2" t="s">
        <v>2817</v>
      </c>
      <c r="X357" s="2"/>
      <c r="Y357" s="2" t="s">
        <v>48</v>
      </c>
      <c r="Z357" s="3" t="s">
        <v>2818</v>
      </c>
      <c r="AA357" s="2" t="s">
        <v>40</v>
      </c>
      <c r="AB357" s="2" t="s">
        <v>50</v>
      </c>
      <c r="AC357" s="2" t="n">
        <v>0</v>
      </c>
      <c r="AD357" s="2" t="n">
        <v>867</v>
      </c>
      <c r="AE357" s="2" t="n">
        <v>1</v>
      </c>
      <c r="AF357" s="2"/>
      <c r="AG357" s="2" t="s">
        <v>2819</v>
      </c>
      <c r="AH357" s="2" t="s">
        <v>2820</v>
      </c>
      <c r="AI357" s="2" t="n">
        <v>0</v>
      </c>
    </row>
    <row r="358" customFormat="false" ht="15" hidden="false" customHeight="false" outlineLevel="0" collapsed="false">
      <c r="A358" s="2" t="n">
        <v>91339</v>
      </c>
      <c r="B358" s="2" t="s">
        <v>2821</v>
      </c>
      <c r="C358" s="2"/>
      <c r="D358" s="2" t="s">
        <v>2151</v>
      </c>
      <c r="E358" s="2" t="s">
        <v>55</v>
      </c>
      <c r="F358" s="2" t="s">
        <v>106</v>
      </c>
      <c r="G358" s="2" t="s">
        <v>39</v>
      </c>
      <c r="H358" s="2" t="s">
        <v>40</v>
      </c>
      <c r="I358" s="2" t="s">
        <v>40</v>
      </c>
      <c r="J358" s="2" t="s">
        <v>2540</v>
      </c>
      <c r="K358" s="2" t="s">
        <v>78</v>
      </c>
      <c r="L358" s="2" t="s">
        <v>43</v>
      </c>
      <c r="M358" s="2" t="s">
        <v>44</v>
      </c>
      <c r="N358" s="2"/>
      <c r="O358" s="2" t="n">
        <v>7.90801</v>
      </c>
      <c r="P358" s="2" t="n">
        <v>98.4012287</v>
      </c>
      <c r="Q358" s="2" t="s">
        <v>2822</v>
      </c>
      <c r="R358" s="2"/>
      <c r="S358" s="2"/>
      <c r="T358" s="2"/>
      <c r="U358" s="2" t="s">
        <v>2823</v>
      </c>
      <c r="V358" s="2"/>
      <c r="W358" s="2" t="s">
        <v>2824</v>
      </c>
      <c r="X358" s="2"/>
      <c r="Y358" s="2" t="s">
        <v>48</v>
      </c>
      <c r="Z358" s="3" t="s">
        <v>2825</v>
      </c>
      <c r="AA358" s="2" t="s">
        <v>40</v>
      </c>
      <c r="AB358" s="2" t="s">
        <v>50</v>
      </c>
      <c r="AC358" s="2" t="n">
        <v>0</v>
      </c>
      <c r="AD358" s="2" t="n">
        <v>603</v>
      </c>
      <c r="AE358" s="2" t="n">
        <v>1</v>
      </c>
      <c r="AF358" s="2"/>
      <c r="AG358" s="2" t="s">
        <v>2826</v>
      </c>
      <c r="AH358" s="2" t="s">
        <v>2827</v>
      </c>
      <c r="AI358" s="2" t="n">
        <v>0</v>
      </c>
    </row>
    <row r="359" customFormat="false" ht="15" hidden="false" customHeight="false" outlineLevel="0" collapsed="false">
      <c r="A359" s="2" t="n">
        <v>81390</v>
      </c>
      <c r="B359" s="2" t="s">
        <v>2828</v>
      </c>
      <c r="C359" s="2"/>
      <c r="D359" s="2" t="s">
        <v>726</v>
      </c>
      <c r="E359" s="2" t="s">
        <v>55</v>
      </c>
      <c r="F359" s="2" t="s">
        <v>38</v>
      </c>
      <c r="G359" s="2" t="s">
        <v>40</v>
      </c>
      <c r="H359" s="2" t="s">
        <v>40</v>
      </c>
      <c r="I359" s="2" t="s">
        <v>40</v>
      </c>
      <c r="J359" s="2" t="s">
        <v>2829</v>
      </c>
      <c r="K359" s="2" t="s">
        <v>78</v>
      </c>
      <c r="L359" s="2" t="s">
        <v>43</v>
      </c>
      <c r="M359" s="2" t="s">
        <v>44</v>
      </c>
      <c r="N359" s="2"/>
      <c r="O359" s="2" t="n">
        <v>7.820258</v>
      </c>
      <c r="P359" s="2" t="n">
        <v>98.344177</v>
      </c>
      <c r="Q359" s="2"/>
      <c r="R359" s="2"/>
      <c r="S359" s="2"/>
      <c r="T359" s="2"/>
      <c r="U359" s="2"/>
      <c r="V359" s="2"/>
      <c r="W359" s="2" t="s">
        <v>2830</v>
      </c>
      <c r="X359" s="2"/>
      <c r="Y359" s="2" t="s">
        <v>1909</v>
      </c>
      <c r="Z359" s="2" t="s">
        <v>2831</v>
      </c>
      <c r="AA359" s="2" t="s">
        <v>40</v>
      </c>
      <c r="AB359" s="2" t="s">
        <v>50</v>
      </c>
      <c r="AC359" s="2" t="n">
        <v>0</v>
      </c>
      <c r="AD359" s="2" t="n">
        <v>758</v>
      </c>
      <c r="AE359" s="2" t="n">
        <v>1</v>
      </c>
      <c r="AF359" s="2"/>
      <c r="AG359" s="2" t="s">
        <v>2832</v>
      </c>
      <c r="AH359" s="2" t="s">
        <v>2833</v>
      </c>
      <c r="AI359" s="2" t="n">
        <v>0</v>
      </c>
    </row>
    <row r="360" customFormat="false" ht="15" hidden="false" customHeight="false" outlineLevel="0" collapsed="false">
      <c r="A360" s="2" t="n">
        <v>91435</v>
      </c>
      <c r="B360" s="2" t="s">
        <v>2834</v>
      </c>
      <c r="C360" s="2"/>
      <c r="D360" s="2" t="s">
        <v>2835</v>
      </c>
      <c r="E360" s="2" t="s">
        <v>117</v>
      </c>
      <c r="F360" s="2" t="s">
        <v>106</v>
      </c>
      <c r="G360" s="2" t="s">
        <v>39</v>
      </c>
      <c r="H360" s="2" t="s">
        <v>40</v>
      </c>
      <c r="I360" s="2" t="s">
        <v>40</v>
      </c>
      <c r="J360" s="2" t="s">
        <v>2836</v>
      </c>
      <c r="K360" s="2" t="s">
        <v>68</v>
      </c>
      <c r="L360" s="2" t="s">
        <v>43</v>
      </c>
      <c r="M360" s="2" t="s">
        <v>44</v>
      </c>
      <c r="N360" s="2"/>
      <c r="O360" s="2" t="n">
        <v>7.87917</v>
      </c>
      <c r="P360" s="2" t="n">
        <v>98.3979961</v>
      </c>
      <c r="Q360" s="2"/>
      <c r="R360" s="2" t="s">
        <v>2837</v>
      </c>
      <c r="S360" s="2"/>
      <c r="T360" s="2"/>
      <c r="U360" s="2" t="s">
        <v>2838</v>
      </c>
      <c r="V360" s="2"/>
      <c r="W360" s="2" t="s">
        <v>2839</v>
      </c>
      <c r="X360" s="2"/>
      <c r="Y360" s="2" t="s">
        <v>48</v>
      </c>
      <c r="Z360" s="3" t="s">
        <v>2840</v>
      </c>
      <c r="AA360" s="2" t="s">
        <v>40</v>
      </c>
      <c r="AB360" s="2" t="s">
        <v>50</v>
      </c>
      <c r="AC360" s="2" t="n">
        <v>0</v>
      </c>
      <c r="AD360" s="2" t="n">
        <v>744</v>
      </c>
      <c r="AE360" s="2" t="n">
        <v>0</v>
      </c>
      <c r="AF360" s="2"/>
      <c r="AG360" s="2" t="s">
        <v>2841</v>
      </c>
      <c r="AH360" s="2" t="s">
        <v>2842</v>
      </c>
      <c r="AI360" s="2" t="n">
        <v>0</v>
      </c>
    </row>
    <row r="361" customFormat="false" ht="15" hidden="false" customHeight="false" outlineLevel="0" collapsed="false">
      <c r="A361" s="2" t="n">
        <v>91983</v>
      </c>
      <c r="B361" s="2" t="s">
        <v>2843</v>
      </c>
      <c r="C361" s="2"/>
      <c r="D361" s="2" t="s">
        <v>2388</v>
      </c>
      <c r="E361" s="2" t="s">
        <v>37</v>
      </c>
      <c r="F361" s="2" t="s">
        <v>38</v>
      </c>
      <c r="G361" s="2" t="s">
        <v>39</v>
      </c>
      <c r="H361" s="2" t="s">
        <v>40</v>
      </c>
      <c r="I361" s="2" t="s">
        <v>40</v>
      </c>
      <c r="J361" s="2" t="s">
        <v>158</v>
      </c>
      <c r="K361" s="2" t="s">
        <v>78</v>
      </c>
      <c r="L361" s="2" t="s">
        <v>43</v>
      </c>
      <c r="M361" s="2" t="s">
        <v>44</v>
      </c>
      <c r="N361" s="2"/>
      <c r="O361" s="2" t="n">
        <v>7.8804765</v>
      </c>
      <c r="P361" s="2" t="n">
        <v>98.3729017</v>
      </c>
      <c r="Q361" s="2"/>
      <c r="R361" s="2" t="s">
        <v>2844</v>
      </c>
      <c r="S361" s="2"/>
      <c r="T361" s="2"/>
      <c r="U361" s="2" t="s">
        <v>2845</v>
      </c>
      <c r="V361" s="2"/>
      <c r="W361" s="2" t="s">
        <v>292</v>
      </c>
      <c r="X361" s="2"/>
      <c r="Y361" s="2" t="s">
        <v>48</v>
      </c>
      <c r="Z361" s="3" t="s">
        <v>2846</v>
      </c>
      <c r="AA361" s="2" t="s">
        <v>40</v>
      </c>
      <c r="AB361" s="2" t="s">
        <v>50</v>
      </c>
      <c r="AC361" s="2" t="n">
        <v>0</v>
      </c>
      <c r="AD361" s="2" t="n">
        <v>858</v>
      </c>
      <c r="AE361" s="2" t="n">
        <v>0</v>
      </c>
      <c r="AF361" s="2"/>
      <c r="AG361" s="2" t="s">
        <v>2847</v>
      </c>
      <c r="AH361" s="2" t="s">
        <v>2848</v>
      </c>
      <c r="AI361" s="2" t="n">
        <v>0</v>
      </c>
    </row>
    <row r="362" customFormat="false" ht="15" hidden="false" customHeight="false" outlineLevel="0" collapsed="false">
      <c r="A362" s="2" t="n">
        <v>91984</v>
      </c>
      <c r="B362" s="2" t="s">
        <v>2849</v>
      </c>
      <c r="C362" s="2"/>
      <c r="D362" s="2" t="s">
        <v>1208</v>
      </c>
      <c r="E362" s="2" t="s">
        <v>117</v>
      </c>
      <c r="F362" s="2" t="s">
        <v>38</v>
      </c>
      <c r="G362" s="2" t="s">
        <v>39</v>
      </c>
      <c r="H362" s="2" t="s">
        <v>40</v>
      </c>
      <c r="I362" s="2" t="s">
        <v>40</v>
      </c>
      <c r="J362" s="2" t="s">
        <v>2850</v>
      </c>
      <c r="K362" s="2" t="s">
        <v>42</v>
      </c>
      <c r="L362" s="2" t="s">
        <v>43</v>
      </c>
      <c r="M362" s="2" t="s">
        <v>44</v>
      </c>
      <c r="N362" s="2"/>
      <c r="O362" s="2" t="n">
        <v>7.8840066</v>
      </c>
      <c r="P362" s="2" t="n">
        <v>98.3823174</v>
      </c>
      <c r="Q362" s="2" t="s">
        <v>2851</v>
      </c>
      <c r="R362" s="2"/>
      <c r="S362" s="2"/>
      <c r="T362" s="2"/>
      <c r="U362" s="2" t="s">
        <v>2852</v>
      </c>
      <c r="V362" s="2"/>
      <c r="W362" s="2" t="s">
        <v>2853</v>
      </c>
      <c r="X362" s="2"/>
      <c r="Y362" s="2" t="s">
        <v>48</v>
      </c>
      <c r="Z362" s="3" t="s">
        <v>2854</v>
      </c>
      <c r="AA362" s="2" t="s">
        <v>40</v>
      </c>
      <c r="AB362" s="2" t="s">
        <v>50</v>
      </c>
      <c r="AC362" s="2" t="n">
        <v>0</v>
      </c>
      <c r="AD362" s="2" t="n">
        <v>609</v>
      </c>
      <c r="AE362" s="2" t="n">
        <v>1</v>
      </c>
      <c r="AF362" s="2"/>
      <c r="AG362" s="2" t="s">
        <v>2855</v>
      </c>
      <c r="AH362" s="2" t="s">
        <v>2856</v>
      </c>
      <c r="AI362" s="2" t="n">
        <v>0</v>
      </c>
    </row>
    <row r="363" customFormat="false" ht="15" hidden="false" customHeight="false" outlineLevel="0" collapsed="false">
      <c r="A363" s="2" t="n">
        <v>90804</v>
      </c>
      <c r="B363" s="2" t="s">
        <v>2857</v>
      </c>
      <c r="C363" s="2"/>
      <c r="D363" s="2" t="s">
        <v>589</v>
      </c>
      <c r="E363" s="2" t="s">
        <v>37</v>
      </c>
      <c r="F363" s="2" t="s">
        <v>38</v>
      </c>
      <c r="G363" s="2" t="s">
        <v>39</v>
      </c>
      <c r="H363" s="2" t="s">
        <v>40</v>
      </c>
      <c r="I363" s="2" t="s">
        <v>40</v>
      </c>
      <c r="J363" s="2" t="s">
        <v>539</v>
      </c>
      <c r="K363" s="2" t="s">
        <v>68</v>
      </c>
      <c r="L363" s="2" t="s">
        <v>43</v>
      </c>
      <c r="M363" s="2" t="s">
        <v>44</v>
      </c>
      <c r="N363" s="2"/>
      <c r="O363" s="2" t="n">
        <v>7.885787</v>
      </c>
      <c r="P363" s="2" t="n">
        <v>98.390745</v>
      </c>
      <c r="Q363" s="2" t="s">
        <v>2858</v>
      </c>
      <c r="R363" s="2"/>
      <c r="S363" s="2"/>
      <c r="T363" s="2"/>
      <c r="U363" s="2" t="s">
        <v>2859</v>
      </c>
      <c r="V363" s="2"/>
      <c r="W363" s="2" t="s">
        <v>452</v>
      </c>
      <c r="X363" s="2"/>
      <c r="Y363" s="2" t="s">
        <v>48</v>
      </c>
      <c r="Z363" s="3" t="s">
        <v>2860</v>
      </c>
      <c r="AA363" s="2" t="s">
        <v>40</v>
      </c>
      <c r="AB363" s="2" t="s">
        <v>50</v>
      </c>
      <c r="AC363" s="2" t="n">
        <v>0</v>
      </c>
      <c r="AD363" s="2" t="n">
        <v>588</v>
      </c>
      <c r="AE363" s="2" t="n">
        <v>1</v>
      </c>
      <c r="AF363" s="2"/>
      <c r="AG363" s="2" t="s">
        <v>2861</v>
      </c>
      <c r="AH363" s="2" t="s">
        <v>2862</v>
      </c>
      <c r="AI363" s="2" t="n">
        <v>0</v>
      </c>
    </row>
    <row r="364" customFormat="false" ht="15" hidden="false" customHeight="false" outlineLevel="0" collapsed="false">
      <c r="A364" s="2" t="n">
        <v>91785</v>
      </c>
      <c r="B364" s="2" t="s">
        <v>2863</v>
      </c>
      <c r="C364" s="2"/>
      <c r="D364" s="2" t="s">
        <v>1824</v>
      </c>
      <c r="E364" s="2" t="s">
        <v>37</v>
      </c>
      <c r="F364" s="2" t="s">
        <v>38</v>
      </c>
      <c r="G364" s="2" t="s">
        <v>39</v>
      </c>
      <c r="H364" s="2" t="s">
        <v>40</v>
      </c>
      <c r="I364" s="2" t="s">
        <v>40</v>
      </c>
      <c r="J364" s="2" t="s">
        <v>774</v>
      </c>
      <c r="K364" s="2" t="s">
        <v>78</v>
      </c>
      <c r="L364" s="2" t="s">
        <v>43</v>
      </c>
      <c r="M364" s="2" t="s">
        <v>44</v>
      </c>
      <c r="N364" s="2"/>
      <c r="O364" s="2" t="n">
        <v>7.9071218</v>
      </c>
      <c r="P364" s="2" t="n">
        <v>98.3733868</v>
      </c>
      <c r="Q364" s="2"/>
      <c r="R364" s="2" t="s">
        <v>2864</v>
      </c>
      <c r="S364" s="2"/>
      <c r="T364" s="2"/>
      <c r="U364" s="2" t="s">
        <v>2865</v>
      </c>
      <c r="V364" s="2"/>
      <c r="W364" s="2" t="s">
        <v>2866</v>
      </c>
      <c r="X364" s="2"/>
      <c r="Y364" s="2" t="s">
        <v>48</v>
      </c>
      <c r="Z364" s="3" t="s">
        <v>2867</v>
      </c>
      <c r="AA364" s="2" t="s">
        <v>40</v>
      </c>
      <c r="AB364" s="2" t="s">
        <v>50</v>
      </c>
      <c r="AC364" s="2" t="n">
        <v>0</v>
      </c>
      <c r="AD364" s="2" t="n">
        <v>551</v>
      </c>
      <c r="AE364" s="2" t="n">
        <v>0</v>
      </c>
      <c r="AF364" s="2"/>
      <c r="AG364" s="2" t="s">
        <v>2868</v>
      </c>
      <c r="AH364" s="2" t="s">
        <v>2869</v>
      </c>
      <c r="AI364" s="2" t="n">
        <v>0</v>
      </c>
    </row>
    <row r="365" customFormat="false" ht="15" hidden="false" customHeight="false" outlineLevel="0" collapsed="false">
      <c r="A365" s="2" t="n">
        <v>90906</v>
      </c>
      <c r="B365" s="2" t="s">
        <v>2870</v>
      </c>
      <c r="C365" s="2"/>
      <c r="D365" s="2" t="s">
        <v>262</v>
      </c>
      <c r="E365" s="2" t="s">
        <v>117</v>
      </c>
      <c r="F365" s="2" t="s">
        <v>38</v>
      </c>
      <c r="G365" s="2" t="s">
        <v>39</v>
      </c>
      <c r="H365" s="2" t="s">
        <v>40</v>
      </c>
      <c r="I365" s="2" t="s">
        <v>40</v>
      </c>
      <c r="J365" s="2" t="s">
        <v>1915</v>
      </c>
      <c r="K365" s="2" t="s">
        <v>68</v>
      </c>
      <c r="L365" s="2" t="s">
        <v>43</v>
      </c>
      <c r="M365" s="2" t="s">
        <v>44</v>
      </c>
      <c r="N365" s="2"/>
      <c r="O365" s="2" t="n">
        <v>7.899934</v>
      </c>
      <c r="P365" s="2" t="n">
        <v>98.381183</v>
      </c>
      <c r="Q365" s="2"/>
      <c r="R365" s="2" t="s">
        <v>1810</v>
      </c>
      <c r="S365" s="2"/>
      <c r="T365" s="2"/>
      <c r="U365" s="2" t="s">
        <v>2871</v>
      </c>
      <c r="V365" s="2"/>
      <c r="W365" s="2" t="s">
        <v>2872</v>
      </c>
      <c r="X365" s="2"/>
      <c r="Y365" s="2" t="s">
        <v>48</v>
      </c>
      <c r="Z365" s="3" t="s">
        <v>2873</v>
      </c>
      <c r="AA365" s="2" t="s">
        <v>40</v>
      </c>
      <c r="AB365" s="2" t="s">
        <v>50</v>
      </c>
      <c r="AC365" s="2" t="n">
        <v>0</v>
      </c>
      <c r="AD365" s="2" t="n">
        <v>685</v>
      </c>
      <c r="AE365" s="2" t="n">
        <v>0</v>
      </c>
      <c r="AF365" s="2"/>
      <c r="AG365" s="2" t="s">
        <v>2874</v>
      </c>
      <c r="AH365" s="2" t="s">
        <v>2875</v>
      </c>
      <c r="AI365" s="2" t="n">
        <v>0</v>
      </c>
    </row>
    <row r="366" customFormat="false" ht="15" hidden="false" customHeight="false" outlineLevel="0" collapsed="false">
      <c r="A366" s="2" t="n">
        <v>79994</v>
      </c>
      <c r="B366" s="2" t="s">
        <v>2876</v>
      </c>
      <c r="C366" s="2"/>
      <c r="D366" s="2" t="s">
        <v>2877</v>
      </c>
      <c r="E366" s="2" t="s">
        <v>37</v>
      </c>
      <c r="F366" s="2" t="s">
        <v>106</v>
      </c>
      <c r="G366" s="2" t="s">
        <v>39</v>
      </c>
      <c r="H366" s="2" t="s">
        <v>39</v>
      </c>
      <c r="I366" s="2" t="s">
        <v>40</v>
      </c>
      <c r="J366" s="2" t="s">
        <v>2878</v>
      </c>
      <c r="K366" s="2" t="s">
        <v>474</v>
      </c>
      <c r="L366" s="2" t="s">
        <v>43</v>
      </c>
      <c r="M366" s="2" t="s">
        <v>44</v>
      </c>
      <c r="N366" s="2" t="s">
        <v>2879</v>
      </c>
      <c r="O366" s="2" t="n">
        <v>7.8701979</v>
      </c>
      <c r="P366" s="2" t="n">
        <v>98.3299142</v>
      </c>
      <c r="Q366" s="2" t="s">
        <v>2880</v>
      </c>
      <c r="R366" s="2"/>
      <c r="S366" s="2" t="s">
        <v>2881</v>
      </c>
      <c r="T366" s="2"/>
      <c r="U366" s="2" t="s">
        <v>2882</v>
      </c>
      <c r="V366" s="2"/>
      <c r="W366" s="2" t="s">
        <v>533</v>
      </c>
      <c r="X366" s="2" t="s">
        <v>2883</v>
      </c>
      <c r="Y366" s="2" t="s">
        <v>2884</v>
      </c>
      <c r="Z366" s="2" t="s">
        <v>2885</v>
      </c>
      <c r="AA366" s="2" t="s">
        <v>40</v>
      </c>
      <c r="AB366" s="2" t="s">
        <v>50</v>
      </c>
      <c r="AC366" s="2" t="n">
        <v>0</v>
      </c>
      <c r="AD366" s="2" t="n">
        <v>1987</v>
      </c>
      <c r="AE366" s="2" t="n">
        <v>0</v>
      </c>
      <c r="AF366" s="2"/>
      <c r="AG366" s="2" t="s">
        <v>2886</v>
      </c>
      <c r="AH366" s="2" t="s">
        <v>2887</v>
      </c>
      <c r="AI366" s="2" t="n">
        <v>0</v>
      </c>
    </row>
    <row r="367" customFormat="false" ht="15" hidden="false" customHeight="false" outlineLevel="0" collapsed="false">
      <c r="A367" s="2" t="n">
        <v>90883</v>
      </c>
      <c r="B367" s="2" t="s">
        <v>2888</v>
      </c>
      <c r="C367" s="2"/>
      <c r="D367" s="2" t="s">
        <v>654</v>
      </c>
      <c r="E367" s="2" t="s">
        <v>55</v>
      </c>
      <c r="F367" s="2" t="s">
        <v>106</v>
      </c>
      <c r="G367" s="2" t="s">
        <v>39</v>
      </c>
      <c r="H367" s="2" t="s">
        <v>40</v>
      </c>
      <c r="I367" s="2" t="s">
        <v>40</v>
      </c>
      <c r="J367" s="2" t="s">
        <v>2889</v>
      </c>
      <c r="K367" s="2" t="s">
        <v>88</v>
      </c>
      <c r="L367" s="2" t="s">
        <v>43</v>
      </c>
      <c r="M367" s="2" t="s">
        <v>44</v>
      </c>
      <c r="N367" s="2"/>
      <c r="O367" s="2" t="n">
        <v>7.774568</v>
      </c>
      <c r="P367" s="2" t="n">
        <v>98.325693</v>
      </c>
      <c r="Q367" s="2" t="s">
        <v>2890</v>
      </c>
      <c r="R367" s="2"/>
      <c r="S367" s="2"/>
      <c r="T367" s="2"/>
      <c r="U367" s="2" t="s">
        <v>2891</v>
      </c>
      <c r="V367" s="2"/>
      <c r="W367" s="2" t="s">
        <v>249</v>
      </c>
      <c r="X367" s="2"/>
      <c r="Y367" s="2" t="s">
        <v>48</v>
      </c>
      <c r="Z367" s="3" t="s">
        <v>2892</v>
      </c>
      <c r="AA367" s="2" t="s">
        <v>40</v>
      </c>
      <c r="AB367" s="2" t="s">
        <v>50</v>
      </c>
      <c r="AC367" s="2" t="n">
        <v>0</v>
      </c>
      <c r="AD367" s="2" t="n">
        <v>799</v>
      </c>
      <c r="AE367" s="2" t="n">
        <v>1</v>
      </c>
      <c r="AF367" s="2"/>
      <c r="AG367" s="2" t="s">
        <v>2893</v>
      </c>
      <c r="AH367" s="2" t="s">
        <v>2894</v>
      </c>
      <c r="AI367" s="2" t="n">
        <v>0</v>
      </c>
    </row>
    <row r="368" customFormat="false" ht="15" hidden="false" customHeight="false" outlineLevel="0" collapsed="false">
      <c r="A368" s="2" t="n">
        <v>91790</v>
      </c>
      <c r="B368" s="2" t="s">
        <v>2895</v>
      </c>
      <c r="C368" s="2"/>
      <c r="D368" s="2" t="s">
        <v>236</v>
      </c>
      <c r="E368" s="2" t="s">
        <v>37</v>
      </c>
      <c r="F368" s="2" t="s">
        <v>38</v>
      </c>
      <c r="G368" s="2" t="s">
        <v>39</v>
      </c>
      <c r="H368" s="2" t="s">
        <v>40</v>
      </c>
      <c r="I368" s="2" t="s">
        <v>40</v>
      </c>
      <c r="J368" s="2" t="s">
        <v>987</v>
      </c>
      <c r="K368" s="2" t="s">
        <v>42</v>
      </c>
      <c r="L368" s="2" t="s">
        <v>43</v>
      </c>
      <c r="M368" s="2" t="s">
        <v>44</v>
      </c>
      <c r="N368" s="2"/>
      <c r="O368" s="2" t="n">
        <v>7.88468</v>
      </c>
      <c r="P368" s="2" t="n">
        <v>98.379622</v>
      </c>
      <c r="Q368" s="2"/>
      <c r="R368" s="2" t="s">
        <v>2896</v>
      </c>
      <c r="S368" s="2"/>
      <c r="T368" s="2"/>
      <c r="U368" s="2" t="s">
        <v>2897</v>
      </c>
      <c r="V368" s="2"/>
      <c r="W368" s="2" t="s">
        <v>1456</v>
      </c>
      <c r="X368" s="2"/>
      <c r="Y368" s="2" t="s">
        <v>48</v>
      </c>
      <c r="Z368" s="3" t="s">
        <v>2898</v>
      </c>
      <c r="AA368" s="2" t="s">
        <v>40</v>
      </c>
      <c r="AB368" s="2" t="s">
        <v>50</v>
      </c>
      <c r="AC368" s="2" t="n">
        <v>0</v>
      </c>
      <c r="AD368" s="2" t="n">
        <v>985</v>
      </c>
      <c r="AE368" s="2" t="n">
        <v>0</v>
      </c>
      <c r="AF368" s="2"/>
      <c r="AG368" s="2" t="s">
        <v>2899</v>
      </c>
      <c r="AH368" s="2" t="s">
        <v>2900</v>
      </c>
      <c r="AI368" s="2" t="n">
        <v>0</v>
      </c>
    </row>
    <row r="369" customFormat="false" ht="15" hidden="false" customHeight="false" outlineLevel="0" collapsed="false">
      <c r="A369" s="2" t="n">
        <v>91751</v>
      </c>
      <c r="B369" s="2" t="s">
        <v>2901</v>
      </c>
      <c r="C369" s="2"/>
      <c r="D369" s="2" t="s">
        <v>2902</v>
      </c>
      <c r="E369" s="2" t="s">
        <v>55</v>
      </c>
      <c r="F369" s="2" t="s">
        <v>38</v>
      </c>
      <c r="G369" s="2" t="s">
        <v>39</v>
      </c>
      <c r="H369" s="2" t="s">
        <v>40</v>
      </c>
      <c r="I369" s="2" t="s">
        <v>40</v>
      </c>
      <c r="J369" s="2" t="s">
        <v>2903</v>
      </c>
      <c r="K369" s="2" t="s">
        <v>57</v>
      </c>
      <c r="L369" s="2" t="s">
        <v>58</v>
      </c>
      <c r="M369" s="2" t="s">
        <v>44</v>
      </c>
      <c r="N369" s="2"/>
      <c r="O369" s="2" t="n">
        <v>7.9948243</v>
      </c>
      <c r="P369" s="2" t="n">
        <v>98.3058585</v>
      </c>
      <c r="Q369" s="2" t="s">
        <v>2904</v>
      </c>
      <c r="R369" s="2"/>
      <c r="S369" s="2"/>
      <c r="T369" s="2"/>
      <c r="U369" s="2" t="s">
        <v>2905</v>
      </c>
      <c r="V369" s="2"/>
      <c r="W369" s="2" t="s">
        <v>493</v>
      </c>
      <c r="X369" s="2"/>
      <c r="Y369" s="2" t="s">
        <v>48</v>
      </c>
      <c r="Z369" s="3" t="s">
        <v>2906</v>
      </c>
      <c r="AA369" s="2" t="s">
        <v>40</v>
      </c>
      <c r="AB369" s="2" t="s">
        <v>50</v>
      </c>
      <c r="AC369" s="2" t="n">
        <v>0</v>
      </c>
      <c r="AD369" s="2" t="n">
        <v>604</v>
      </c>
      <c r="AE369" s="2" t="n">
        <v>0</v>
      </c>
      <c r="AF369" s="2"/>
      <c r="AG369" s="2" t="s">
        <v>2907</v>
      </c>
      <c r="AH369" s="2" t="s">
        <v>2908</v>
      </c>
      <c r="AI369" s="2" t="n">
        <v>0</v>
      </c>
    </row>
    <row r="370" customFormat="false" ht="15" hidden="false" customHeight="false" outlineLevel="0" collapsed="false">
      <c r="A370" s="2" t="n">
        <v>90825</v>
      </c>
      <c r="B370" s="2" t="s">
        <v>2909</v>
      </c>
      <c r="C370" s="2"/>
      <c r="D370" s="2" t="s">
        <v>2910</v>
      </c>
      <c r="E370" s="2" t="s">
        <v>117</v>
      </c>
      <c r="F370" s="2" t="s">
        <v>38</v>
      </c>
      <c r="G370" s="2" t="s">
        <v>39</v>
      </c>
      <c r="H370" s="2" t="s">
        <v>40</v>
      </c>
      <c r="I370" s="2" t="s">
        <v>40</v>
      </c>
      <c r="J370" s="2" t="s">
        <v>1708</v>
      </c>
      <c r="K370" s="2" t="s">
        <v>68</v>
      </c>
      <c r="L370" s="2" t="s">
        <v>43</v>
      </c>
      <c r="M370" s="2" t="s">
        <v>44</v>
      </c>
      <c r="N370" s="2"/>
      <c r="O370" s="2" t="n">
        <v>7.9019956</v>
      </c>
      <c r="P370" s="2" t="n">
        <v>98.3791707</v>
      </c>
      <c r="Q370" s="2"/>
      <c r="R370" s="2" t="s">
        <v>2911</v>
      </c>
      <c r="S370" s="2"/>
      <c r="T370" s="2"/>
      <c r="U370" s="2" t="s">
        <v>2912</v>
      </c>
      <c r="V370" s="2"/>
      <c r="W370" s="2" t="s">
        <v>2913</v>
      </c>
      <c r="X370" s="2"/>
      <c r="Y370" s="2" t="s">
        <v>48</v>
      </c>
      <c r="Z370" s="3" t="s">
        <v>2914</v>
      </c>
      <c r="AA370" s="2" t="s">
        <v>40</v>
      </c>
      <c r="AB370" s="2" t="s">
        <v>50</v>
      </c>
      <c r="AC370" s="2" t="n">
        <v>0</v>
      </c>
      <c r="AD370" s="2" t="n">
        <v>788</v>
      </c>
      <c r="AE370" s="2" t="n">
        <v>1</v>
      </c>
      <c r="AF370" s="2"/>
      <c r="AG370" s="2" t="s">
        <v>2915</v>
      </c>
      <c r="AH370" s="2" t="s">
        <v>2916</v>
      </c>
      <c r="AI370" s="2" t="n">
        <v>0</v>
      </c>
    </row>
    <row r="371" customFormat="false" ht="15" hidden="false" customHeight="false" outlineLevel="0" collapsed="false">
      <c r="A371" s="2" t="n">
        <v>92096</v>
      </c>
      <c r="B371" s="2" t="s">
        <v>2917</v>
      </c>
      <c r="C371" s="2"/>
      <c r="D371" s="2" t="s">
        <v>887</v>
      </c>
      <c r="E371" s="2" t="s">
        <v>117</v>
      </c>
      <c r="F371" s="2" t="s">
        <v>38</v>
      </c>
      <c r="G371" s="2" t="s">
        <v>39</v>
      </c>
      <c r="H371" s="2" t="s">
        <v>40</v>
      </c>
      <c r="I371" s="2" t="s">
        <v>40</v>
      </c>
      <c r="J371" s="2" t="s">
        <v>2918</v>
      </c>
      <c r="K371" s="2" t="s">
        <v>78</v>
      </c>
      <c r="L371" s="2" t="s">
        <v>43</v>
      </c>
      <c r="M371" s="2" t="s">
        <v>44</v>
      </c>
      <c r="N371" s="2"/>
      <c r="O371" s="2" t="n">
        <v>7.8565968</v>
      </c>
      <c r="P371" s="2" t="n">
        <v>98.3776113</v>
      </c>
      <c r="Q371" s="2"/>
      <c r="R371" s="2" t="s">
        <v>2919</v>
      </c>
      <c r="S371" s="2"/>
      <c r="T371" s="2"/>
      <c r="U371" s="2" t="s">
        <v>2920</v>
      </c>
      <c r="V371" s="2"/>
      <c r="W371" s="2" t="s">
        <v>2921</v>
      </c>
      <c r="X371" s="2"/>
      <c r="Y371" s="2" t="s">
        <v>48</v>
      </c>
      <c r="Z371" s="3" t="s">
        <v>2922</v>
      </c>
      <c r="AA371" s="2" t="s">
        <v>40</v>
      </c>
      <c r="AB371" s="2" t="s">
        <v>50</v>
      </c>
      <c r="AC371" s="2" t="n">
        <v>0</v>
      </c>
      <c r="AD371" s="2" t="n">
        <v>832</v>
      </c>
      <c r="AE371" s="2" t="n">
        <v>0</v>
      </c>
      <c r="AF371" s="2"/>
      <c r="AG371" s="2" t="s">
        <v>2923</v>
      </c>
      <c r="AH371" s="2" t="s">
        <v>2924</v>
      </c>
      <c r="AI371" s="2" t="n">
        <v>0</v>
      </c>
    </row>
    <row r="372" customFormat="false" ht="15" hidden="false" customHeight="false" outlineLevel="0" collapsed="false">
      <c r="A372" s="2" t="n">
        <v>90797</v>
      </c>
      <c r="B372" s="2" t="s">
        <v>2925</v>
      </c>
      <c r="C372" s="2"/>
      <c r="D372" s="2" t="s">
        <v>2926</v>
      </c>
      <c r="E372" s="2" t="s">
        <v>37</v>
      </c>
      <c r="F372" s="2" t="s">
        <v>38</v>
      </c>
      <c r="G372" s="2" t="s">
        <v>39</v>
      </c>
      <c r="H372" s="2" t="s">
        <v>40</v>
      </c>
      <c r="I372" s="2" t="s">
        <v>40</v>
      </c>
      <c r="J372" s="2" t="s">
        <v>2927</v>
      </c>
      <c r="K372" s="2" t="s">
        <v>108</v>
      </c>
      <c r="L372" s="2" t="s">
        <v>109</v>
      </c>
      <c r="M372" s="2" t="s">
        <v>44</v>
      </c>
      <c r="N372" s="2"/>
      <c r="O372" s="2" t="n">
        <v>7.9119326</v>
      </c>
      <c r="P372" s="2" t="n">
        <v>98.2946867</v>
      </c>
      <c r="Q372" s="2" t="s">
        <v>2928</v>
      </c>
      <c r="R372" s="2"/>
      <c r="S372" s="2"/>
      <c r="T372" s="2"/>
      <c r="U372" s="2" t="s">
        <v>2929</v>
      </c>
      <c r="V372" s="2"/>
      <c r="W372" s="2" t="s">
        <v>2930</v>
      </c>
      <c r="X372" s="2"/>
      <c r="Y372" s="2" t="s">
        <v>48</v>
      </c>
      <c r="Z372" s="3" t="s">
        <v>2931</v>
      </c>
      <c r="AA372" s="2" t="s">
        <v>40</v>
      </c>
      <c r="AB372" s="2" t="s">
        <v>50</v>
      </c>
      <c r="AC372" s="2" t="n">
        <v>0</v>
      </c>
      <c r="AD372" s="2" t="n">
        <v>929</v>
      </c>
      <c r="AE372" s="2" t="n">
        <v>1</v>
      </c>
      <c r="AF372" s="2"/>
      <c r="AG372" s="2" t="s">
        <v>2932</v>
      </c>
      <c r="AH372" s="2" t="s">
        <v>2933</v>
      </c>
      <c r="AI372" s="2" t="n">
        <v>0</v>
      </c>
    </row>
    <row r="373" customFormat="false" ht="15" hidden="false" customHeight="false" outlineLevel="0" collapsed="false">
      <c r="A373" s="2" t="n">
        <v>91409</v>
      </c>
      <c r="B373" s="2" t="s">
        <v>2934</v>
      </c>
      <c r="C373" s="2"/>
      <c r="D373" s="2" t="s">
        <v>2388</v>
      </c>
      <c r="E373" s="2" t="s">
        <v>37</v>
      </c>
      <c r="F373" s="2" t="s">
        <v>38</v>
      </c>
      <c r="G373" s="2" t="s">
        <v>39</v>
      </c>
      <c r="H373" s="2" t="s">
        <v>40</v>
      </c>
      <c r="I373" s="2" t="s">
        <v>40</v>
      </c>
      <c r="J373" s="2" t="s">
        <v>1922</v>
      </c>
      <c r="K373" s="2" t="s">
        <v>108</v>
      </c>
      <c r="L373" s="2" t="s">
        <v>109</v>
      </c>
      <c r="M373" s="2" t="s">
        <v>44</v>
      </c>
      <c r="N373" s="2"/>
      <c r="O373" s="2" t="n">
        <v>7.902779</v>
      </c>
      <c r="P373" s="2" t="n">
        <v>98.307495</v>
      </c>
      <c r="Q373" s="2"/>
      <c r="R373" s="2" t="s">
        <v>2935</v>
      </c>
      <c r="S373" s="2"/>
      <c r="T373" s="2"/>
      <c r="U373" s="2" t="s">
        <v>2936</v>
      </c>
      <c r="V373" s="2"/>
      <c r="W373" s="2" t="s">
        <v>2937</v>
      </c>
      <c r="X373" s="2"/>
      <c r="Y373" s="2" t="s">
        <v>48</v>
      </c>
      <c r="Z373" s="3" t="s">
        <v>2938</v>
      </c>
      <c r="AA373" s="2" t="s">
        <v>40</v>
      </c>
      <c r="AB373" s="2" t="s">
        <v>50</v>
      </c>
      <c r="AC373" s="2" t="n">
        <v>0</v>
      </c>
      <c r="AD373" s="2" t="n">
        <v>765</v>
      </c>
      <c r="AE373" s="2" t="n">
        <v>0</v>
      </c>
      <c r="AF373" s="2"/>
      <c r="AG373" s="2" t="s">
        <v>2939</v>
      </c>
      <c r="AH373" s="2" t="s">
        <v>2940</v>
      </c>
      <c r="AI373" s="2" t="n">
        <v>0</v>
      </c>
    </row>
    <row r="374" customFormat="false" ht="15" hidden="false" customHeight="false" outlineLevel="0" collapsed="false">
      <c r="A374" s="2" t="n">
        <v>90834</v>
      </c>
      <c r="B374" s="2" t="s">
        <v>2941</v>
      </c>
      <c r="C374" s="2"/>
      <c r="D374" s="2" t="s">
        <v>116</v>
      </c>
      <c r="E374" s="2" t="s">
        <v>117</v>
      </c>
      <c r="F374" s="2" t="s">
        <v>38</v>
      </c>
      <c r="G374" s="2" t="s">
        <v>39</v>
      </c>
      <c r="H374" s="2" t="s">
        <v>40</v>
      </c>
      <c r="I374" s="2" t="s">
        <v>40</v>
      </c>
      <c r="J374" s="2" t="s">
        <v>2942</v>
      </c>
      <c r="K374" s="2" t="s">
        <v>68</v>
      </c>
      <c r="L374" s="2" t="s">
        <v>43</v>
      </c>
      <c r="M374" s="2" t="s">
        <v>44</v>
      </c>
      <c r="N374" s="2"/>
      <c r="O374" s="2" t="n">
        <v>7.884728</v>
      </c>
      <c r="P374" s="2" t="n">
        <v>98.388951</v>
      </c>
      <c r="Q374" s="2"/>
      <c r="R374" s="2" t="s">
        <v>2943</v>
      </c>
      <c r="S374" s="2"/>
      <c r="T374" s="2"/>
      <c r="U374" s="2" t="s">
        <v>2944</v>
      </c>
      <c r="V374" s="2"/>
      <c r="W374" s="2" t="s">
        <v>2945</v>
      </c>
      <c r="X374" s="2"/>
      <c r="Y374" s="2" t="s">
        <v>48</v>
      </c>
      <c r="Z374" s="3" t="s">
        <v>2946</v>
      </c>
      <c r="AA374" s="2" t="s">
        <v>40</v>
      </c>
      <c r="AB374" s="2" t="s">
        <v>50</v>
      </c>
      <c r="AC374" s="2" t="n">
        <v>0</v>
      </c>
      <c r="AD374" s="2" t="n">
        <v>577</v>
      </c>
      <c r="AE374" s="2" t="n">
        <v>0</v>
      </c>
      <c r="AF374" s="2"/>
      <c r="AG374" s="2" t="s">
        <v>2947</v>
      </c>
      <c r="AH374" s="2" t="s">
        <v>2948</v>
      </c>
      <c r="AI374" s="2" t="n">
        <v>0</v>
      </c>
    </row>
    <row r="375" customFormat="false" ht="15" hidden="false" customHeight="false" outlineLevel="0" collapsed="false">
      <c r="A375" s="2" t="n">
        <v>90800</v>
      </c>
      <c r="B375" s="2" t="s">
        <v>2949</v>
      </c>
      <c r="C375" s="2"/>
      <c r="D375" s="2" t="s">
        <v>2169</v>
      </c>
      <c r="E375" s="2" t="s">
        <v>37</v>
      </c>
      <c r="F375" s="2" t="s">
        <v>237</v>
      </c>
      <c r="G375" s="2" t="s">
        <v>39</v>
      </c>
      <c r="H375" s="2" t="s">
        <v>40</v>
      </c>
      <c r="I375" s="2" t="s">
        <v>40</v>
      </c>
      <c r="J375" s="2" t="s">
        <v>1216</v>
      </c>
      <c r="K375" s="2" t="s">
        <v>474</v>
      </c>
      <c r="L375" s="2" t="s">
        <v>43</v>
      </c>
      <c r="M375" s="2" t="s">
        <v>44</v>
      </c>
      <c r="N375" s="2"/>
      <c r="O375" s="2" t="n">
        <v>7.843089</v>
      </c>
      <c r="P375" s="2" t="n">
        <v>98.372023</v>
      </c>
      <c r="Q375" s="2" t="s">
        <v>2950</v>
      </c>
      <c r="R375" s="2"/>
      <c r="S375" s="2"/>
      <c r="T375" s="2"/>
      <c r="U375" s="2" t="s">
        <v>2951</v>
      </c>
      <c r="V375" s="2"/>
      <c r="W375" s="2" t="s">
        <v>249</v>
      </c>
      <c r="X375" s="2"/>
      <c r="Y375" s="2" t="s">
        <v>48</v>
      </c>
      <c r="Z375" s="3" t="s">
        <v>2952</v>
      </c>
      <c r="AA375" s="2" t="s">
        <v>40</v>
      </c>
      <c r="AB375" s="2" t="s">
        <v>50</v>
      </c>
      <c r="AC375" s="2" t="n">
        <v>0</v>
      </c>
      <c r="AD375" s="2" t="n">
        <v>775</v>
      </c>
      <c r="AE375" s="2" t="n">
        <v>1</v>
      </c>
      <c r="AF375" s="2"/>
      <c r="AG375" s="2" t="s">
        <v>2953</v>
      </c>
      <c r="AH375" s="2" t="s">
        <v>2954</v>
      </c>
      <c r="AI375" s="2" t="n">
        <v>0</v>
      </c>
    </row>
    <row r="376" customFormat="false" ht="15" hidden="false" customHeight="false" outlineLevel="0" collapsed="false">
      <c r="A376" s="2" t="n">
        <v>90853</v>
      </c>
      <c r="B376" s="2" t="s">
        <v>2955</v>
      </c>
      <c r="C376" s="2"/>
      <c r="D376" s="2" t="s">
        <v>1945</v>
      </c>
      <c r="E376" s="2" t="s">
        <v>117</v>
      </c>
      <c r="F376" s="2" t="s">
        <v>38</v>
      </c>
      <c r="G376" s="2" t="s">
        <v>39</v>
      </c>
      <c r="H376" s="2" t="s">
        <v>40</v>
      </c>
      <c r="I376" s="2" t="s">
        <v>40</v>
      </c>
      <c r="J376" s="2" t="s">
        <v>1119</v>
      </c>
      <c r="K376" s="2" t="s">
        <v>109</v>
      </c>
      <c r="L376" s="2" t="s">
        <v>109</v>
      </c>
      <c r="M376" s="2" t="s">
        <v>44</v>
      </c>
      <c r="N376" s="2"/>
      <c r="O376" s="2" t="n">
        <v>7.912143</v>
      </c>
      <c r="P376" s="2" t="n">
        <v>98.3460134</v>
      </c>
      <c r="Q376" s="2"/>
      <c r="R376" s="2" t="s">
        <v>2956</v>
      </c>
      <c r="S376" s="2"/>
      <c r="T376" s="2"/>
      <c r="U376" s="2" t="s">
        <v>2957</v>
      </c>
      <c r="V376" s="2"/>
      <c r="W376" s="2" t="s">
        <v>2958</v>
      </c>
      <c r="X376" s="2"/>
      <c r="Y376" s="2" t="s">
        <v>48</v>
      </c>
      <c r="Z376" s="3" t="s">
        <v>2959</v>
      </c>
      <c r="AA376" s="2" t="s">
        <v>40</v>
      </c>
      <c r="AB376" s="2" t="s">
        <v>50</v>
      </c>
      <c r="AC376" s="2" t="n">
        <v>0</v>
      </c>
      <c r="AD376" s="2" t="n">
        <v>748</v>
      </c>
      <c r="AE376" s="2" t="n">
        <v>0</v>
      </c>
      <c r="AF376" s="2"/>
      <c r="AG376" s="2" t="s">
        <v>2960</v>
      </c>
      <c r="AH376" s="2" t="s">
        <v>2961</v>
      </c>
      <c r="AI376" s="2" t="n">
        <v>0</v>
      </c>
    </row>
    <row r="377" customFormat="false" ht="15" hidden="false" customHeight="false" outlineLevel="0" collapsed="false">
      <c r="A377" s="2" t="n">
        <v>90880</v>
      </c>
      <c r="B377" s="2" t="s">
        <v>2962</v>
      </c>
      <c r="C377" s="2"/>
      <c r="D377" s="2" t="s">
        <v>1945</v>
      </c>
      <c r="E377" s="2" t="s">
        <v>117</v>
      </c>
      <c r="F377" s="2" t="s">
        <v>38</v>
      </c>
      <c r="G377" s="2" t="s">
        <v>39</v>
      </c>
      <c r="H377" s="2" t="s">
        <v>40</v>
      </c>
      <c r="I377" s="2" t="s">
        <v>40</v>
      </c>
      <c r="J377" s="2" t="s">
        <v>1231</v>
      </c>
      <c r="K377" s="2" t="s">
        <v>68</v>
      </c>
      <c r="L377" s="2" t="s">
        <v>43</v>
      </c>
      <c r="M377" s="2" t="s">
        <v>44</v>
      </c>
      <c r="N377" s="2"/>
      <c r="O377" s="2" t="n">
        <v>7.880177</v>
      </c>
      <c r="P377" s="2" t="n">
        <v>98.392163</v>
      </c>
      <c r="Q377" s="2"/>
      <c r="R377" s="2" t="s">
        <v>2963</v>
      </c>
      <c r="S377" s="2"/>
      <c r="T377" s="2"/>
      <c r="U377" s="2" t="s">
        <v>2964</v>
      </c>
      <c r="V377" s="2"/>
      <c r="W377" s="2" t="s">
        <v>2965</v>
      </c>
      <c r="X377" s="2"/>
      <c r="Y377" s="2" t="s">
        <v>48</v>
      </c>
      <c r="Z377" s="3" t="s">
        <v>2966</v>
      </c>
      <c r="AA377" s="2" t="s">
        <v>40</v>
      </c>
      <c r="AB377" s="2" t="s">
        <v>50</v>
      </c>
      <c r="AC377" s="2" t="n">
        <v>0</v>
      </c>
      <c r="AD377" s="2" t="n">
        <v>713</v>
      </c>
      <c r="AE377" s="2" t="n">
        <v>1</v>
      </c>
      <c r="AF377" s="2"/>
      <c r="AG377" s="2" t="s">
        <v>2967</v>
      </c>
      <c r="AH377" s="2" t="s">
        <v>2968</v>
      </c>
      <c r="AI377" s="2" t="n">
        <v>0</v>
      </c>
    </row>
    <row r="378" customFormat="false" ht="15" hidden="false" customHeight="false" outlineLevel="0" collapsed="false">
      <c r="A378" s="2" t="n">
        <v>90823</v>
      </c>
      <c r="B378" s="2" t="s">
        <v>2969</v>
      </c>
      <c r="C378" s="2"/>
      <c r="D378" s="2" t="s">
        <v>2016</v>
      </c>
      <c r="E378" s="2" t="s">
        <v>117</v>
      </c>
      <c r="F378" s="2" t="s">
        <v>38</v>
      </c>
      <c r="G378" s="2" t="s">
        <v>39</v>
      </c>
      <c r="H378" s="2" t="s">
        <v>40</v>
      </c>
      <c r="I378" s="2" t="s">
        <v>40</v>
      </c>
      <c r="J378" s="2" t="s">
        <v>2970</v>
      </c>
      <c r="K378" s="2" t="s">
        <v>42</v>
      </c>
      <c r="L378" s="2" t="s">
        <v>43</v>
      </c>
      <c r="M378" s="2" t="s">
        <v>44</v>
      </c>
      <c r="N378" s="2"/>
      <c r="O378" s="2" t="n">
        <v>7.876259</v>
      </c>
      <c r="P378" s="2" t="n">
        <v>98.38855</v>
      </c>
      <c r="Q378" s="2" t="s">
        <v>2971</v>
      </c>
      <c r="R378" s="2"/>
      <c r="S378" s="2"/>
      <c r="T378" s="2"/>
      <c r="U378" s="2" t="s">
        <v>2972</v>
      </c>
      <c r="V378" s="2"/>
      <c r="W378" s="2" t="s">
        <v>2973</v>
      </c>
      <c r="X378" s="2"/>
      <c r="Y378" s="2" t="s">
        <v>48</v>
      </c>
      <c r="Z378" s="3" t="s">
        <v>2974</v>
      </c>
      <c r="AA378" s="2" t="s">
        <v>40</v>
      </c>
      <c r="AB378" s="2" t="s">
        <v>50</v>
      </c>
      <c r="AC378" s="2" t="n">
        <v>0</v>
      </c>
      <c r="AD378" s="2" t="n">
        <v>711</v>
      </c>
      <c r="AE378" s="2" t="n">
        <v>0</v>
      </c>
      <c r="AF378" s="2"/>
      <c r="AG378" s="2" t="s">
        <v>2975</v>
      </c>
      <c r="AH378" s="2" t="s">
        <v>2976</v>
      </c>
      <c r="AI378" s="2" t="n">
        <v>0</v>
      </c>
    </row>
    <row r="379" customFormat="false" ht="15" hidden="false" customHeight="false" outlineLevel="0" collapsed="false">
      <c r="A379" s="2" t="n">
        <v>85583</v>
      </c>
      <c r="B379" s="2" t="s">
        <v>2977</v>
      </c>
      <c r="C379" s="2"/>
      <c r="D379" s="2" t="s">
        <v>2978</v>
      </c>
      <c r="E379" s="2" t="s">
        <v>117</v>
      </c>
      <c r="F379" s="2" t="s">
        <v>38</v>
      </c>
      <c r="G379" s="2" t="s">
        <v>39</v>
      </c>
      <c r="H379" s="2" t="s">
        <v>40</v>
      </c>
      <c r="I379" s="2" t="s">
        <v>40</v>
      </c>
      <c r="J379" s="2" t="s">
        <v>2979</v>
      </c>
      <c r="K379" s="2" t="s">
        <v>42</v>
      </c>
      <c r="L379" s="2" t="s">
        <v>43</v>
      </c>
      <c r="M379" s="2" t="s">
        <v>44</v>
      </c>
      <c r="N379" s="2" t="s">
        <v>1907</v>
      </c>
      <c r="O379" s="2" t="n">
        <v>7.8884630175</v>
      </c>
      <c r="P379" s="2" t="n">
        <v>98.3853685856</v>
      </c>
      <c r="Q379" s="2"/>
      <c r="R379" s="2"/>
      <c r="S379" s="2"/>
      <c r="T379" s="2"/>
      <c r="U379" s="2"/>
      <c r="V379" s="2"/>
      <c r="W379" s="2" t="s">
        <v>2980</v>
      </c>
      <c r="X379" s="2" t="s">
        <v>2981</v>
      </c>
      <c r="Y379" s="2" t="s">
        <v>1909</v>
      </c>
      <c r="Z379" s="3" t="s">
        <v>2982</v>
      </c>
      <c r="AA379" s="2" t="s">
        <v>40</v>
      </c>
      <c r="AB379" s="2" t="s">
        <v>50</v>
      </c>
      <c r="AC379" s="2" t="n">
        <v>0</v>
      </c>
      <c r="AD379" s="2" t="n">
        <v>784</v>
      </c>
      <c r="AE379" s="2" t="n">
        <v>1</v>
      </c>
      <c r="AF379" s="2"/>
      <c r="AG379" s="2" t="s">
        <v>2983</v>
      </c>
      <c r="AH379" s="2" t="s">
        <v>2984</v>
      </c>
      <c r="AI379" s="2" t="n">
        <v>0</v>
      </c>
    </row>
    <row r="380" customFormat="false" ht="15" hidden="false" customHeight="false" outlineLevel="0" collapsed="false">
      <c r="A380" s="2" t="n">
        <v>91432</v>
      </c>
      <c r="B380" s="2" t="s">
        <v>2985</v>
      </c>
      <c r="C380" s="2"/>
      <c r="D380" s="2" t="s">
        <v>1897</v>
      </c>
      <c r="E380" s="2" t="s">
        <v>117</v>
      </c>
      <c r="F380" s="2" t="s">
        <v>38</v>
      </c>
      <c r="G380" s="2" t="s">
        <v>39</v>
      </c>
      <c r="H380" s="2" t="s">
        <v>40</v>
      </c>
      <c r="I380" s="2" t="s">
        <v>40</v>
      </c>
      <c r="J380" s="2" t="s">
        <v>2170</v>
      </c>
      <c r="K380" s="2" t="s">
        <v>1953</v>
      </c>
      <c r="L380" s="2" t="s">
        <v>58</v>
      </c>
      <c r="M380" s="2" t="s">
        <v>44</v>
      </c>
      <c r="N380" s="2"/>
      <c r="O380" s="2" t="n">
        <v>8.004218</v>
      </c>
      <c r="P380" s="2" t="n">
        <v>98.345106</v>
      </c>
      <c r="Q380" s="2"/>
      <c r="R380" s="2" t="s">
        <v>2986</v>
      </c>
      <c r="S380" s="2"/>
      <c r="T380" s="2"/>
      <c r="U380" s="2" t="s">
        <v>2987</v>
      </c>
      <c r="V380" s="2"/>
      <c r="W380" s="2" t="s">
        <v>2988</v>
      </c>
      <c r="X380" s="2"/>
      <c r="Y380" s="2" t="s">
        <v>48</v>
      </c>
      <c r="Z380" s="3" t="s">
        <v>2989</v>
      </c>
      <c r="AA380" s="2" t="s">
        <v>40</v>
      </c>
      <c r="AB380" s="2" t="s">
        <v>50</v>
      </c>
      <c r="AC380" s="2" t="n">
        <v>0</v>
      </c>
      <c r="AD380" s="2" t="n">
        <v>733</v>
      </c>
      <c r="AE380" s="2" t="n">
        <v>0</v>
      </c>
      <c r="AF380" s="2"/>
      <c r="AG380" s="2" t="s">
        <v>2990</v>
      </c>
      <c r="AH380" s="2" t="s">
        <v>2991</v>
      </c>
      <c r="AI380" s="2" t="n">
        <v>0</v>
      </c>
    </row>
    <row r="381" customFormat="false" ht="15" hidden="false" customHeight="false" outlineLevel="0" collapsed="false">
      <c r="A381" s="2" t="n">
        <v>90862</v>
      </c>
      <c r="B381" s="2" t="s">
        <v>2992</v>
      </c>
      <c r="C381" s="2"/>
      <c r="D381" s="2" t="s">
        <v>1897</v>
      </c>
      <c r="E381" s="2" t="s">
        <v>117</v>
      </c>
      <c r="F381" s="2" t="s">
        <v>38</v>
      </c>
      <c r="G381" s="2" t="s">
        <v>39</v>
      </c>
      <c r="H381" s="2" t="s">
        <v>40</v>
      </c>
      <c r="I381" s="2" t="s">
        <v>40</v>
      </c>
      <c r="J381" s="2" t="s">
        <v>2993</v>
      </c>
      <c r="K381" s="2" t="s">
        <v>78</v>
      </c>
      <c r="L381" s="2" t="s">
        <v>43</v>
      </c>
      <c r="M381" s="2" t="s">
        <v>44</v>
      </c>
      <c r="N381" s="2"/>
      <c r="O381" s="2" t="n">
        <v>7.885005</v>
      </c>
      <c r="P381" s="2" t="n">
        <v>98.379143</v>
      </c>
      <c r="Q381" s="2" t="s">
        <v>2994</v>
      </c>
      <c r="R381" s="2"/>
      <c r="S381" s="2"/>
      <c r="T381" s="2"/>
      <c r="U381" s="2" t="s">
        <v>2995</v>
      </c>
      <c r="V381" s="2"/>
      <c r="W381" s="2" t="s">
        <v>2996</v>
      </c>
      <c r="X381" s="2"/>
      <c r="Y381" s="2" t="s">
        <v>48</v>
      </c>
      <c r="Z381" s="3" t="s">
        <v>2997</v>
      </c>
      <c r="AA381" s="2" t="s">
        <v>40</v>
      </c>
      <c r="AB381" s="2" t="s">
        <v>50</v>
      </c>
      <c r="AC381" s="2" t="n">
        <v>0</v>
      </c>
      <c r="AD381" s="2" t="n">
        <v>741</v>
      </c>
      <c r="AE381" s="2" t="n">
        <v>0</v>
      </c>
      <c r="AF381" s="2"/>
      <c r="AG381" s="2" t="s">
        <v>2998</v>
      </c>
      <c r="AH381" s="2" t="s">
        <v>2999</v>
      </c>
      <c r="AI381" s="2" t="n">
        <v>0</v>
      </c>
    </row>
    <row r="382" customFormat="false" ht="15" hidden="false" customHeight="false" outlineLevel="0" collapsed="false">
      <c r="A382" s="2" t="n">
        <v>92980</v>
      </c>
      <c r="B382" s="2" t="s">
        <v>3000</v>
      </c>
      <c r="C382" s="2"/>
      <c r="D382" s="2" t="s">
        <v>726</v>
      </c>
      <c r="E382" s="2" t="s">
        <v>37</v>
      </c>
      <c r="F382" s="2" t="s">
        <v>106</v>
      </c>
      <c r="G382" s="2" t="s">
        <v>39</v>
      </c>
      <c r="H382" s="2" t="s">
        <v>40</v>
      </c>
      <c r="I382" s="2" t="s">
        <v>40</v>
      </c>
      <c r="J382" s="2" t="s">
        <v>3001</v>
      </c>
      <c r="K382" s="2" t="s">
        <v>399</v>
      </c>
      <c r="L382" s="2" t="s">
        <v>43</v>
      </c>
      <c r="M382" s="2" t="s">
        <v>44</v>
      </c>
      <c r="N382" s="2"/>
      <c r="O382" s="2" t="n">
        <v>7.8162556</v>
      </c>
      <c r="P382" s="2" t="n">
        <v>98.3007241</v>
      </c>
      <c r="Q382" s="2"/>
      <c r="R382" s="2" t="s">
        <v>3002</v>
      </c>
      <c r="S382" s="2"/>
      <c r="T382" s="2"/>
      <c r="U382" s="2" t="s">
        <v>3003</v>
      </c>
      <c r="V382" s="2"/>
      <c r="W382" s="2" t="s">
        <v>834</v>
      </c>
      <c r="X382" s="2"/>
      <c r="Y382" s="2" t="s">
        <v>48</v>
      </c>
      <c r="Z382" s="3" t="s">
        <v>3004</v>
      </c>
      <c r="AA382" s="2" t="s">
        <v>40</v>
      </c>
      <c r="AB382" s="2" t="s">
        <v>50</v>
      </c>
      <c r="AC382" s="2" t="n">
        <v>0</v>
      </c>
      <c r="AD382" s="2" t="n">
        <v>586</v>
      </c>
      <c r="AE382" s="2" t="n">
        <v>0</v>
      </c>
      <c r="AF382" s="2"/>
      <c r="AG382" s="2" t="s">
        <v>3005</v>
      </c>
      <c r="AH382" s="2" t="s">
        <v>3006</v>
      </c>
      <c r="AI382" s="2" t="n">
        <v>0</v>
      </c>
    </row>
    <row r="383" customFormat="false" ht="15" hidden="false" customHeight="false" outlineLevel="0" collapsed="false">
      <c r="A383" s="2" t="n">
        <v>92091</v>
      </c>
      <c r="B383" s="2" t="s">
        <v>3007</v>
      </c>
      <c r="C383" s="2"/>
      <c r="D383" s="2" t="s">
        <v>2268</v>
      </c>
      <c r="E383" s="2" t="s">
        <v>117</v>
      </c>
      <c r="F383" s="2" t="s">
        <v>38</v>
      </c>
      <c r="G383" s="2" t="s">
        <v>39</v>
      </c>
      <c r="H383" s="2" t="s">
        <v>40</v>
      </c>
      <c r="I383" s="2" t="s">
        <v>40</v>
      </c>
      <c r="J383" s="2" t="s">
        <v>3008</v>
      </c>
      <c r="K383" s="2" t="s">
        <v>474</v>
      </c>
      <c r="L383" s="2" t="s">
        <v>43</v>
      </c>
      <c r="M383" s="2" t="s">
        <v>44</v>
      </c>
      <c r="N383" s="2"/>
      <c r="O383" s="2" t="n">
        <v>7.834689</v>
      </c>
      <c r="P383" s="2" t="n">
        <v>98.337385</v>
      </c>
      <c r="Q383" s="2" t="s">
        <v>3009</v>
      </c>
      <c r="R383" s="2"/>
      <c r="S383" s="2"/>
      <c r="T383" s="2"/>
      <c r="U383" s="2" t="s">
        <v>3010</v>
      </c>
      <c r="V383" s="2"/>
      <c r="W383" s="2" t="s">
        <v>2272</v>
      </c>
      <c r="X383" s="2"/>
      <c r="Y383" s="2" t="s">
        <v>48</v>
      </c>
      <c r="Z383" s="3" t="s">
        <v>3011</v>
      </c>
      <c r="AA383" s="2" t="s">
        <v>40</v>
      </c>
      <c r="AB383" s="2" t="s">
        <v>50</v>
      </c>
      <c r="AC383" s="2" t="n">
        <v>0</v>
      </c>
      <c r="AD383" s="2" t="n">
        <v>607</v>
      </c>
      <c r="AE383" s="2" t="n">
        <v>0</v>
      </c>
      <c r="AF383" s="2"/>
      <c r="AG383" s="2" t="s">
        <v>3012</v>
      </c>
      <c r="AH383" s="2" t="s">
        <v>3013</v>
      </c>
      <c r="AI383" s="2" t="n">
        <v>0</v>
      </c>
    </row>
    <row r="384" customFormat="false" ht="15" hidden="false" customHeight="false" outlineLevel="0" collapsed="false">
      <c r="A384" s="2" t="n">
        <v>91194</v>
      </c>
      <c r="B384" s="2" t="s">
        <v>3014</v>
      </c>
      <c r="C384" s="2"/>
      <c r="D384" s="2" t="s">
        <v>76</v>
      </c>
      <c r="E384" s="2" t="s">
        <v>117</v>
      </c>
      <c r="F384" s="2" t="s">
        <v>38</v>
      </c>
      <c r="G384" s="2" t="s">
        <v>39</v>
      </c>
      <c r="H384" s="2" t="s">
        <v>40</v>
      </c>
      <c r="I384" s="2" t="s">
        <v>40</v>
      </c>
      <c r="J384" s="2" t="s">
        <v>1231</v>
      </c>
      <c r="K384" s="2" t="s">
        <v>68</v>
      </c>
      <c r="L384" s="2" t="s">
        <v>43</v>
      </c>
      <c r="M384" s="2" t="s">
        <v>44</v>
      </c>
      <c r="N384" s="2"/>
      <c r="O384" s="2" t="n">
        <v>7.8809093</v>
      </c>
      <c r="P384" s="2" t="n">
        <v>98.3919871</v>
      </c>
      <c r="Q384" s="2"/>
      <c r="R384" s="2" t="s">
        <v>3015</v>
      </c>
      <c r="S384" s="2"/>
      <c r="T384" s="2"/>
      <c r="U384" s="2" t="s">
        <v>3016</v>
      </c>
      <c r="V384" s="2"/>
      <c r="W384" s="2" t="s">
        <v>3017</v>
      </c>
      <c r="X384" s="2"/>
      <c r="Y384" s="2" t="s">
        <v>48</v>
      </c>
      <c r="Z384" s="3" t="s">
        <v>3018</v>
      </c>
      <c r="AA384" s="2" t="s">
        <v>40</v>
      </c>
      <c r="AB384" s="2" t="s">
        <v>50</v>
      </c>
      <c r="AC384" s="2" t="n">
        <v>0</v>
      </c>
      <c r="AD384" s="2" t="n">
        <v>647</v>
      </c>
      <c r="AE384" s="2" t="n">
        <v>1</v>
      </c>
      <c r="AF384" s="2"/>
      <c r="AG384" s="2" t="s">
        <v>3019</v>
      </c>
      <c r="AH384" s="2" t="s">
        <v>3020</v>
      </c>
      <c r="AI384" s="2" t="n">
        <v>0</v>
      </c>
    </row>
    <row r="385" customFormat="false" ht="15" hidden="false" customHeight="false" outlineLevel="0" collapsed="false">
      <c r="A385" s="2" t="n">
        <v>92976</v>
      </c>
      <c r="B385" s="2" t="s">
        <v>3021</v>
      </c>
      <c r="C385" s="2"/>
      <c r="D385" s="2" t="s">
        <v>262</v>
      </c>
      <c r="E385" s="2" t="s">
        <v>117</v>
      </c>
      <c r="F385" s="2" t="s">
        <v>38</v>
      </c>
      <c r="G385" s="2" t="s">
        <v>39</v>
      </c>
      <c r="H385" s="2" t="s">
        <v>40</v>
      </c>
      <c r="I385" s="2" t="s">
        <v>40</v>
      </c>
      <c r="J385" s="2" t="s">
        <v>902</v>
      </c>
      <c r="K385" s="2" t="s">
        <v>68</v>
      </c>
      <c r="L385" s="2" t="s">
        <v>43</v>
      </c>
      <c r="M385" s="2" t="s">
        <v>44</v>
      </c>
      <c r="N385" s="2"/>
      <c r="O385" s="2" t="n">
        <v>7.8860059</v>
      </c>
      <c r="P385" s="2" t="n">
        <v>98.3895205</v>
      </c>
      <c r="Q385" s="2"/>
      <c r="R385" s="2" t="s">
        <v>3022</v>
      </c>
      <c r="S385" s="2"/>
      <c r="T385" s="2"/>
      <c r="U385" s="2" t="s">
        <v>3023</v>
      </c>
      <c r="V385" s="2"/>
      <c r="W385" s="2" t="s">
        <v>3024</v>
      </c>
      <c r="X385" s="2"/>
      <c r="Y385" s="2" t="s">
        <v>48</v>
      </c>
      <c r="Z385" s="3" t="s">
        <v>3025</v>
      </c>
      <c r="AA385" s="2" t="s">
        <v>40</v>
      </c>
      <c r="AB385" s="2" t="s">
        <v>50</v>
      </c>
      <c r="AC385" s="2" t="n">
        <v>0</v>
      </c>
      <c r="AD385" s="2" t="n">
        <v>637</v>
      </c>
      <c r="AE385" s="2" t="n">
        <v>0</v>
      </c>
      <c r="AF385" s="2"/>
      <c r="AG385" s="2" t="s">
        <v>3026</v>
      </c>
      <c r="AH385" s="2" t="s">
        <v>3027</v>
      </c>
      <c r="AI385" s="2" t="n">
        <v>0</v>
      </c>
    </row>
    <row r="386" customFormat="false" ht="15" hidden="false" customHeight="false" outlineLevel="0" collapsed="false">
      <c r="A386" s="2" t="n">
        <v>91388</v>
      </c>
      <c r="B386" s="2" t="s">
        <v>3028</v>
      </c>
      <c r="C386" s="2"/>
      <c r="D386" s="2" t="s">
        <v>654</v>
      </c>
      <c r="E386" s="2" t="s">
        <v>37</v>
      </c>
      <c r="F386" s="2" t="s">
        <v>38</v>
      </c>
      <c r="G386" s="2" t="s">
        <v>39</v>
      </c>
      <c r="H386" s="2" t="s">
        <v>40</v>
      </c>
      <c r="I386" s="2" t="s">
        <v>40</v>
      </c>
      <c r="J386" s="2" t="s">
        <v>158</v>
      </c>
      <c r="K386" s="2" t="s">
        <v>78</v>
      </c>
      <c r="L386" s="2" t="s">
        <v>43</v>
      </c>
      <c r="M386" s="2" t="s">
        <v>44</v>
      </c>
      <c r="N386" s="2"/>
      <c r="O386" s="2" t="n">
        <v>7.880984</v>
      </c>
      <c r="P386" s="2" t="n">
        <v>98.367541</v>
      </c>
      <c r="Q386" s="2"/>
      <c r="R386" s="2" t="s">
        <v>3029</v>
      </c>
      <c r="S386" s="2"/>
      <c r="T386" s="2"/>
      <c r="U386" s="2" t="s">
        <v>3030</v>
      </c>
      <c r="V386" s="2"/>
      <c r="W386" s="2" t="s">
        <v>2550</v>
      </c>
      <c r="X386" s="2"/>
      <c r="Y386" s="2" t="s">
        <v>48</v>
      </c>
      <c r="Z386" s="3" t="s">
        <v>3031</v>
      </c>
      <c r="AA386" s="2" t="s">
        <v>40</v>
      </c>
      <c r="AB386" s="2" t="s">
        <v>50</v>
      </c>
      <c r="AC386" s="2" t="n">
        <v>0</v>
      </c>
      <c r="AD386" s="2" t="n">
        <v>584</v>
      </c>
      <c r="AE386" s="2" t="n">
        <v>1</v>
      </c>
      <c r="AF386" s="2"/>
      <c r="AG386" s="2" t="s">
        <v>3032</v>
      </c>
      <c r="AH386" s="2" t="s">
        <v>3033</v>
      </c>
      <c r="AI386" s="2" t="n">
        <v>0</v>
      </c>
    </row>
    <row r="387" customFormat="false" ht="15" hidden="false" customHeight="false" outlineLevel="0" collapsed="false">
      <c r="A387" s="2" t="n">
        <v>91321</v>
      </c>
      <c r="B387" s="2" t="s">
        <v>3034</v>
      </c>
      <c r="C387" s="2"/>
      <c r="D387" s="2" t="s">
        <v>726</v>
      </c>
      <c r="E387" s="2" t="s">
        <v>37</v>
      </c>
      <c r="F387" s="2" t="s">
        <v>106</v>
      </c>
      <c r="G387" s="2" t="s">
        <v>39</v>
      </c>
      <c r="H387" s="2" t="s">
        <v>40</v>
      </c>
      <c r="I387" s="2" t="s">
        <v>40</v>
      </c>
      <c r="J387" s="2" t="s">
        <v>2540</v>
      </c>
      <c r="K387" s="2" t="s">
        <v>78</v>
      </c>
      <c r="L387" s="2" t="s">
        <v>43</v>
      </c>
      <c r="M387" s="2" t="s">
        <v>44</v>
      </c>
      <c r="N387" s="2"/>
      <c r="O387" s="2" t="n">
        <v>7.9088236</v>
      </c>
      <c r="P387" s="2" t="n">
        <v>98.3985906</v>
      </c>
      <c r="Q387" s="2"/>
      <c r="R387" s="2" t="s">
        <v>3035</v>
      </c>
      <c r="S387" s="2"/>
      <c r="T387" s="2"/>
      <c r="U387" s="2" t="s">
        <v>3036</v>
      </c>
      <c r="V387" s="2"/>
      <c r="W387" s="2" t="s">
        <v>1395</v>
      </c>
      <c r="X387" s="2"/>
      <c r="Y387" s="2" t="s">
        <v>48</v>
      </c>
      <c r="Z387" s="3" t="s">
        <v>3037</v>
      </c>
      <c r="AA387" s="2" t="s">
        <v>40</v>
      </c>
      <c r="AB387" s="2" t="s">
        <v>50</v>
      </c>
      <c r="AC387" s="2" t="n">
        <v>0</v>
      </c>
      <c r="AD387" s="2" t="n">
        <v>740</v>
      </c>
      <c r="AE387" s="2" t="n">
        <v>1</v>
      </c>
      <c r="AF387" s="2"/>
      <c r="AG387" s="2" t="s">
        <v>3038</v>
      </c>
      <c r="AH387" s="2" t="s">
        <v>3039</v>
      </c>
      <c r="AI387" s="2" t="n">
        <v>0</v>
      </c>
    </row>
    <row r="388" customFormat="false" ht="15" hidden="false" customHeight="false" outlineLevel="0" collapsed="false">
      <c r="A388" s="2" t="n">
        <v>90828</v>
      </c>
      <c r="B388" s="2" t="s">
        <v>3040</v>
      </c>
      <c r="C388" s="2"/>
      <c r="D388" s="2" t="s">
        <v>654</v>
      </c>
      <c r="E388" s="2" t="s">
        <v>55</v>
      </c>
      <c r="F388" s="2" t="s">
        <v>106</v>
      </c>
      <c r="G388" s="2" t="s">
        <v>39</v>
      </c>
      <c r="H388" s="2" t="s">
        <v>40</v>
      </c>
      <c r="I388" s="2" t="s">
        <v>40</v>
      </c>
      <c r="J388" s="2" t="s">
        <v>289</v>
      </c>
      <c r="K388" s="2" t="s">
        <v>109</v>
      </c>
      <c r="L388" s="2" t="s">
        <v>109</v>
      </c>
      <c r="M388" s="2" t="s">
        <v>44</v>
      </c>
      <c r="N388" s="2"/>
      <c r="O388" s="2" t="n">
        <v>7.89958</v>
      </c>
      <c r="P388" s="2" t="n">
        <v>98.347133</v>
      </c>
      <c r="Q388" s="2"/>
      <c r="R388" s="2" t="s">
        <v>3041</v>
      </c>
      <c r="S388" s="2"/>
      <c r="T388" s="2"/>
      <c r="U388" s="2" t="s">
        <v>3042</v>
      </c>
      <c r="V388" s="2"/>
      <c r="W388" s="2" t="s">
        <v>1395</v>
      </c>
      <c r="X388" s="2"/>
      <c r="Y388" s="2" t="s">
        <v>48</v>
      </c>
      <c r="Z388" s="3" t="s">
        <v>3043</v>
      </c>
      <c r="AA388" s="2" t="s">
        <v>40</v>
      </c>
      <c r="AB388" s="2" t="s">
        <v>50</v>
      </c>
      <c r="AC388" s="2" t="n">
        <v>0</v>
      </c>
      <c r="AD388" s="2" t="n">
        <v>736</v>
      </c>
      <c r="AE388" s="2" t="n">
        <v>0</v>
      </c>
      <c r="AF388" s="2"/>
      <c r="AG388" s="2" t="s">
        <v>3044</v>
      </c>
      <c r="AH388" s="2" t="s">
        <v>3045</v>
      </c>
      <c r="AI388" s="2" t="n">
        <v>0</v>
      </c>
    </row>
    <row r="389" customFormat="false" ht="15" hidden="false" customHeight="false" outlineLevel="0" collapsed="false">
      <c r="A389" s="2" t="n">
        <v>90894</v>
      </c>
      <c r="B389" s="2" t="s">
        <v>3046</v>
      </c>
      <c r="C389" s="2"/>
      <c r="D389" s="2" t="s">
        <v>726</v>
      </c>
      <c r="E389" s="2" t="s">
        <v>55</v>
      </c>
      <c r="F389" s="2" t="s">
        <v>38</v>
      </c>
      <c r="G389" s="2" t="s">
        <v>39</v>
      </c>
      <c r="H389" s="2" t="s">
        <v>40</v>
      </c>
      <c r="I389" s="2" t="s">
        <v>40</v>
      </c>
      <c r="J389" s="2" t="s">
        <v>289</v>
      </c>
      <c r="K389" s="2" t="s">
        <v>109</v>
      </c>
      <c r="L389" s="2" t="s">
        <v>109</v>
      </c>
      <c r="M389" s="2" t="s">
        <v>44</v>
      </c>
      <c r="N389" s="2"/>
      <c r="O389" s="2" t="n">
        <v>7.8997175</v>
      </c>
      <c r="P389" s="2" t="n">
        <v>98.3551381</v>
      </c>
      <c r="Q389" s="2"/>
      <c r="R389" s="2" t="s">
        <v>3047</v>
      </c>
      <c r="S389" s="2"/>
      <c r="T389" s="2"/>
      <c r="U389" s="2" t="s">
        <v>3048</v>
      </c>
      <c r="V389" s="2"/>
      <c r="W389" s="2" t="s">
        <v>318</v>
      </c>
      <c r="X389" s="2"/>
      <c r="Y389" s="2" t="s">
        <v>48</v>
      </c>
      <c r="Z389" s="3" t="s">
        <v>3049</v>
      </c>
      <c r="AA389" s="2" t="s">
        <v>40</v>
      </c>
      <c r="AB389" s="2" t="s">
        <v>50</v>
      </c>
      <c r="AC389" s="2" t="n">
        <v>0</v>
      </c>
      <c r="AD389" s="2" t="n">
        <v>717</v>
      </c>
      <c r="AE389" s="2" t="n">
        <v>0</v>
      </c>
      <c r="AF389" s="2"/>
      <c r="AG389" s="2" t="s">
        <v>3050</v>
      </c>
      <c r="AH389" s="2" t="s">
        <v>3051</v>
      </c>
      <c r="AI389" s="2" t="n">
        <v>0</v>
      </c>
    </row>
    <row r="390" customFormat="false" ht="15" hidden="false" customHeight="false" outlineLevel="0" collapsed="false">
      <c r="A390" s="2" t="n">
        <v>91206</v>
      </c>
      <c r="B390" s="2" t="s">
        <v>3052</v>
      </c>
      <c r="C390" s="2"/>
      <c r="D390" s="2" t="s">
        <v>726</v>
      </c>
      <c r="E390" s="2" t="s">
        <v>55</v>
      </c>
      <c r="F390" s="2" t="s">
        <v>106</v>
      </c>
      <c r="G390" s="2" t="s">
        <v>39</v>
      </c>
      <c r="H390" s="2" t="s">
        <v>40</v>
      </c>
      <c r="I390" s="2" t="s">
        <v>40</v>
      </c>
      <c r="J390" s="2" t="s">
        <v>3053</v>
      </c>
      <c r="K390" s="2" t="s">
        <v>131</v>
      </c>
      <c r="L390" s="2" t="s">
        <v>58</v>
      </c>
      <c r="M390" s="2" t="s">
        <v>44</v>
      </c>
      <c r="N390" s="2"/>
      <c r="O390" s="2" t="n">
        <v>7.984949</v>
      </c>
      <c r="P390" s="2" t="n">
        <v>98.321044</v>
      </c>
      <c r="Q390" s="2"/>
      <c r="R390" s="2" t="s">
        <v>3054</v>
      </c>
      <c r="S390" s="2"/>
      <c r="T390" s="2"/>
      <c r="U390" s="2" t="s">
        <v>3055</v>
      </c>
      <c r="V390" s="2"/>
      <c r="W390" s="2" t="s">
        <v>3056</v>
      </c>
      <c r="X390" s="2"/>
      <c r="Y390" s="2" t="s">
        <v>48</v>
      </c>
      <c r="Z390" s="3" t="s">
        <v>3057</v>
      </c>
      <c r="AA390" s="2" t="s">
        <v>40</v>
      </c>
      <c r="AB390" s="2" t="s">
        <v>50</v>
      </c>
      <c r="AC390" s="2" t="n">
        <v>0</v>
      </c>
      <c r="AD390" s="2" t="n">
        <v>718</v>
      </c>
      <c r="AE390" s="2" t="n">
        <v>1</v>
      </c>
      <c r="AF390" s="2"/>
      <c r="AG390" s="2" t="s">
        <v>3058</v>
      </c>
      <c r="AH390" s="2" t="s">
        <v>3059</v>
      </c>
      <c r="AI390" s="2" t="n">
        <v>0</v>
      </c>
    </row>
    <row r="391" customFormat="false" ht="15" hidden="false" customHeight="false" outlineLevel="0" collapsed="false">
      <c r="A391" s="2" t="n">
        <v>91760</v>
      </c>
      <c r="B391" s="2" t="s">
        <v>3060</v>
      </c>
      <c r="C391" s="2"/>
      <c r="D391" s="2" t="s">
        <v>116</v>
      </c>
      <c r="E391" s="2" t="s">
        <v>117</v>
      </c>
      <c r="F391" s="2" t="s">
        <v>118</v>
      </c>
      <c r="G391" s="2" t="s">
        <v>39</v>
      </c>
      <c r="H391" s="2" t="s">
        <v>40</v>
      </c>
      <c r="I391" s="2" t="s">
        <v>40</v>
      </c>
      <c r="J391" s="2" t="s">
        <v>3061</v>
      </c>
      <c r="K391" s="2" t="s">
        <v>68</v>
      </c>
      <c r="L391" s="2" t="s">
        <v>43</v>
      </c>
      <c r="M391" s="2" t="s">
        <v>44</v>
      </c>
      <c r="N391" s="2"/>
      <c r="O391" s="2" t="n">
        <v>7.876091</v>
      </c>
      <c r="P391" s="2" t="n">
        <v>98.391413</v>
      </c>
      <c r="Q391" s="2"/>
      <c r="R391" s="2" t="s">
        <v>3062</v>
      </c>
      <c r="S391" s="2"/>
      <c r="T391" s="2"/>
      <c r="U391" s="2" t="s">
        <v>3063</v>
      </c>
      <c r="V391" s="2"/>
      <c r="W391" s="2" t="s">
        <v>212</v>
      </c>
      <c r="X391" s="2"/>
      <c r="Y391" s="2" t="s">
        <v>48</v>
      </c>
      <c r="Z391" s="3" t="s">
        <v>3064</v>
      </c>
      <c r="AA391" s="2" t="s">
        <v>40</v>
      </c>
      <c r="AB391" s="2" t="s">
        <v>50</v>
      </c>
      <c r="AC391" s="2" t="n">
        <v>0</v>
      </c>
      <c r="AD391" s="2" t="n">
        <v>662</v>
      </c>
      <c r="AE391" s="2" t="n">
        <v>0</v>
      </c>
      <c r="AF391" s="2"/>
      <c r="AG391" s="2" t="s">
        <v>3065</v>
      </c>
      <c r="AH391" s="2" t="s">
        <v>3066</v>
      </c>
      <c r="AI391" s="2" t="n">
        <v>0</v>
      </c>
    </row>
    <row r="392" customFormat="false" ht="15" hidden="false" customHeight="false" outlineLevel="0" collapsed="false">
      <c r="A392" s="2" t="n">
        <v>92102</v>
      </c>
      <c r="B392" s="2" t="s">
        <v>3067</v>
      </c>
      <c r="C392" s="2"/>
      <c r="D392" s="2" t="s">
        <v>3068</v>
      </c>
      <c r="E392" s="2" t="s">
        <v>117</v>
      </c>
      <c r="F392" s="2" t="s">
        <v>38</v>
      </c>
      <c r="G392" s="2" t="s">
        <v>39</v>
      </c>
      <c r="H392" s="2" t="s">
        <v>40</v>
      </c>
      <c r="I392" s="2" t="s">
        <v>40</v>
      </c>
      <c r="J392" s="2" t="s">
        <v>3069</v>
      </c>
      <c r="K392" s="2" t="s">
        <v>68</v>
      </c>
      <c r="L392" s="2" t="s">
        <v>43</v>
      </c>
      <c r="M392" s="2" t="s">
        <v>44</v>
      </c>
      <c r="N392" s="2"/>
      <c r="O392" s="2" t="n">
        <v>7.8773085</v>
      </c>
      <c r="P392" s="2" t="n">
        <v>98.3935089</v>
      </c>
      <c r="Q392" s="2"/>
      <c r="R392" s="2" t="s">
        <v>3070</v>
      </c>
      <c r="S392" s="2"/>
      <c r="T392" s="2"/>
      <c r="U392" s="2" t="s">
        <v>3071</v>
      </c>
      <c r="V392" s="2"/>
      <c r="W392" s="2" t="s">
        <v>3072</v>
      </c>
      <c r="X392" s="2"/>
      <c r="Y392" s="2" t="s">
        <v>48</v>
      </c>
      <c r="Z392" s="3" t="s">
        <v>3073</v>
      </c>
      <c r="AA392" s="2" t="s">
        <v>40</v>
      </c>
      <c r="AB392" s="2" t="s">
        <v>50</v>
      </c>
      <c r="AC392" s="2" t="n">
        <v>0</v>
      </c>
      <c r="AD392" s="2" t="n">
        <v>590</v>
      </c>
      <c r="AE392" s="2" t="n">
        <v>1</v>
      </c>
      <c r="AF392" s="2"/>
      <c r="AG392" s="2" t="s">
        <v>3074</v>
      </c>
      <c r="AH392" s="2" t="s">
        <v>3075</v>
      </c>
      <c r="AI392" s="2" t="n">
        <v>0</v>
      </c>
    </row>
    <row r="393" customFormat="false" ht="15" hidden="false" customHeight="false" outlineLevel="0" collapsed="false">
      <c r="A393" s="2" t="n">
        <v>91282</v>
      </c>
      <c r="B393" s="2" t="s">
        <v>3076</v>
      </c>
      <c r="C393" s="2"/>
      <c r="D393" s="2" t="s">
        <v>3077</v>
      </c>
      <c r="E393" s="2" t="s">
        <v>37</v>
      </c>
      <c r="F393" s="2" t="s">
        <v>38</v>
      </c>
      <c r="G393" s="2" t="s">
        <v>39</v>
      </c>
      <c r="H393" s="2" t="s">
        <v>40</v>
      </c>
      <c r="I393" s="2" t="s">
        <v>40</v>
      </c>
      <c r="J393" s="2" t="s">
        <v>3078</v>
      </c>
      <c r="K393" s="2" t="s">
        <v>108</v>
      </c>
      <c r="L393" s="2" t="s">
        <v>109</v>
      </c>
      <c r="M393" s="2" t="s">
        <v>44</v>
      </c>
      <c r="N393" s="2"/>
      <c r="O393" s="2" t="n">
        <v>7.9040942</v>
      </c>
      <c r="P393" s="2" t="n">
        <v>98.3050419</v>
      </c>
      <c r="Q393" s="2" t="s">
        <v>3079</v>
      </c>
      <c r="R393" s="2"/>
      <c r="S393" s="2"/>
      <c r="T393" s="2"/>
      <c r="U393" s="2" t="s">
        <v>3080</v>
      </c>
      <c r="V393" s="2"/>
      <c r="W393" s="2" t="s">
        <v>3081</v>
      </c>
      <c r="X393" s="2"/>
      <c r="Y393" s="2" t="s">
        <v>48</v>
      </c>
      <c r="Z393" s="3" t="s">
        <v>3082</v>
      </c>
      <c r="AA393" s="2" t="s">
        <v>40</v>
      </c>
      <c r="AB393" s="2" t="s">
        <v>50</v>
      </c>
      <c r="AC393" s="2" t="n">
        <v>0</v>
      </c>
      <c r="AD393" s="2" t="n">
        <v>672</v>
      </c>
      <c r="AE393" s="2" t="n">
        <v>1</v>
      </c>
      <c r="AF393" s="2"/>
      <c r="AG393" s="2" t="s">
        <v>3083</v>
      </c>
      <c r="AH393" s="2" t="s">
        <v>3084</v>
      </c>
      <c r="AI393" s="2" t="n">
        <v>0</v>
      </c>
    </row>
    <row r="394" customFormat="false" ht="15" hidden="false" customHeight="false" outlineLevel="0" collapsed="false">
      <c r="A394" s="2" t="n">
        <v>91395</v>
      </c>
      <c r="B394" s="2" t="s">
        <v>3085</v>
      </c>
      <c r="C394" s="2"/>
      <c r="D394" s="2" t="s">
        <v>3077</v>
      </c>
      <c r="E394" s="2" t="s">
        <v>37</v>
      </c>
      <c r="F394" s="2" t="s">
        <v>106</v>
      </c>
      <c r="G394" s="2" t="s">
        <v>39</v>
      </c>
      <c r="H394" s="2" t="s">
        <v>40</v>
      </c>
      <c r="I394" s="2" t="s">
        <v>40</v>
      </c>
      <c r="J394" s="2" t="s">
        <v>3086</v>
      </c>
      <c r="K394" s="2" t="s">
        <v>68</v>
      </c>
      <c r="L394" s="2" t="s">
        <v>43</v>
      </c>
      <c r="M394" s="2" t="s">
        <v>44</v>
      </c>
      <c r="N394" s="2"/>
      <c r="O394" s="2" t="n">
        <v>7.8825549</v>
      </c>
      <c r="P394" s="2" t="n">
        <v>98.3956197</v>
      </c>
      <c r="Q394" s="2" t="s">
        <v>3087</v>
      </c>
      <c r="R394" s="2"/>
      <c r="S394" s="2"/>
      <c r="T394" s="2"/>
      <c r="U394" s="2" t="s">
        <v>3088</v>
      </c>
      <c r="V394" s="2"/>
      <c r="W394" s="2" t="s">
        <v>3089</v>
      </c>
      <c r="X394" s="2"/>
      <c r="Y394" s="2" t="s">
        <v>48</v>
      </c>
      <c r="Z394" s="3" t="s">
        <v>3090</v>
      </c>
      <c r="AA394" s="2" t="s">
        <v>40</v>
      </c>
      <c r="AB394" s="2" t="s">
        <v>50</v>
      </c>
      <c r="AC394" s="2" t="n">
        <v>0</v>
      </c>
      <c r="AD394" s="2" t="n">
        <v>694</v>
      </c>
      <c r="AE394" s="2" t="n">
        <v>1</v>
      </c>
      <c r="AF394" s="2"/>
      <c r="AG394" s="2" t="s">
        <v>3091</v>
      </c>
      <c r="AH394" s="2" t="s">
        <v>3092</v>
      </c>
      <c r="AI394" s="2" t="n">
        <v>0</v>
      </c>
    </row>
    <row r="395" customFormat="false" ht="15" hidden="false" customHeight="false" outlineLevel="0" collapsed="false">
      <c r="A395" s="2" t="n">
        <v>90900</v>
      </c>
      <c r="B395" s="2" t="s">
        <v>3093</v>
      </c>
      <c r="C395" s="2"/>
      <c r="D395" s="2" t="s">
        <v>236</v>
      </c>
      <c r="E395" s="2" t="s">
        <v>117</v>
      </c>
      <c r="F395" s="2" t="s">
        <v>129</v>
      </c>
      <c r="G395" s="2" t="s">
        <v>39</v>
      </c>
      <c r="H395" s="2" t="s">
        <v>40</v>
      </c>
      <c r="I395" s="2" t="s">
        <v>40</v>
      </c>
      <c r="J395" s="2" t="s">
        <v>3094</v>
      </c>
      <c r="K395" s="2" t="s">
        <v>68</v>
      </c>
      <c r="L395" s="2" t="s">
        <v>43</v>
      </c>
      <c r="M395" s="2" t="s">
        <v>44</v>
      </c>
      <c r="N395" s="2"/>
      <c r="O395" s="2" t="n">
        <v>7.891721</v>
      </c>
      <c r="P395" s="2" t="n">
        <v>98.387708</v>
      </c>
      <c r="Q395" s="2"/>
      <c r="R395" s="2" t="s">
        <v>3095</v>
      </c>
      <c r="S395" s="2"/>
      <c r="T395" s="2"/>
      <c r="U395" s="2" t="s">
        <v>3096</v>
      </c>
      <c r="V395" s="2"/>
      <c r="W395" s="2" t="s">
        <v>2824</v>
      </c>
      <c r="X395" s="2"/>
      <c r="Y395" s="2" t="s">
        <v>48</v>
      </c>
      <c r="Z395" s="3" t="s">
        <v>3097</v>
      </c>
      <c r="AA395" s="2" t="s">
        <v>40</v>
      </c>
      <c r="AB395" s="2" t="s">
        <v>50</v>
      </c>
      <c r="AC395" s="2" t="n">
        <v>0</v>
      </c>
      <c r="AD395" s="2" t="n">
        <v>821</v>
      </c>
      <c r="AE395" s="2" t="n">
        <v>1</v>
      </c>
      <c r="AF395" s="2"/>
      <c r="AG395" s="2" t="s">
        <v>3098</v>
      </c>
      <c r="AH395" s="2" t="s">
        <v>3099</v>
      </c>
      <c r="AI395" s="2" t="n">
        <v>0</v>
      </c>
    </row>
    <row r="396" customFormat="false" ht="15" hidden="false" customHeight="false" outlineLevel="0" collapsed="false">
      <c r="A396" s="2" t="n">
        <v>90886</v>
      </c>
      <c r="B396" s="2" t="s">
        <v>3100</v>
      </c>
      <c r="C396" s="2"/>
      <c r="D396" s="2" t="s">
        <v>2388</v>
      </c>
      <c r="E396" s="2" t="s">
        <v>37</v>
      </c>
      <c r="F396" s="2" t="s">
        <v>106</v>
      </c>
      <c r="G396" s="2" t="s">
        <v>39</v>
      </c>
      <c r="H396" s="2" t="s">
        <v>40</v>
      </c>
      <c r="I396" s="2" t="s">
        <v>40</v>
      </c>
      <c r="J396" s="2" t="s">
        <v>1562</v>
      </c>
      <c r="K396" s="2" t="s">
        <v>57</v>
      </c>
      <c r="L396" s="2" t="s">
        <v>58</v>
      </c>
      <c r="M396" s="2" t="s">
        <v>44</v>
      </c>
      <c r="N396" s="2"/>
      <c r="O396" s="2" t="n">
        <v>8.004161</v>
      </c>
      <c r="P396" s="2" t="n">
        <v>98.312359</v>
      </c>
      <c r="Q396" s="2"/>
      <c r="R396" s="2" t="s">
        <v>3101</v>
      </c>
      <c r="S396" s="2"/>
      <c r="T396" s="2"/>
      <c r="U396" s="2" t="s">
        <v>3102</v>
      </c>
      <c r="V396" s="2"/>
      <c r="W396" s="2" t="s">
        <v>3017</v>
      </c>
      <c r="X396" s="2"/>
      <c r="Y396" s="2" t="s">
        <v>48</v>
      </c>
      <c r="Z396" s="3" t="s">
        <v>3103</v>
      </c>
      <c r="AA396" s="2" t="s">
        <v>40</v>
      </c>
      <c r="AB396" s="2" t="s">
        <v>50</v>
      </c>
      <c r="AC396" s="2" t="n">
        <v>0</v>
      </c>
      <c r="AD396" s="2" t="n">
        <v>928</v>
      </c>
      <c r="AE396" s="2" t="n">
        <v>1</v>
      </c>
      <c r="AF396" s="2"/>
      <c r="AG396" s="2" t="s">
        <v>3104</v>
      </c>
      <c r="AH396" s="2" t="s">
        <v>3105</v>
      </c>
      <c r="AI396" s="2" t="n">
        <v>0</v>
      </c>
    </row>
    <row r="397" customFormat="false" ht="15" hidden="false" customHeight="false" outlineLevel="0" collapsed="false">
      <c r="A397" s="2" t="n">
        <v>91456</v>
      </c>
      <c r="B397" s="2" t="s">
        <v>3106</v>
      </c>
      <c r="C397" s="2"/>
      <c r="D397" s="2" t="s">
        <v>670</v>
      </c>
      <c r="E397" s="2" t="s">
        <v>37</v>
      </c>
      <c r="F397" s="2" t="s">
        <v>38</v>
      </c>
      <c r="G397" s="2" t="s">
        <v>39</v>
      </c>
      <c r="H397" s="2" t="s">
        <v>40</v>
      </c>
      <c r="I397" s="2" t="s">
        <v>40</v>
      </c>
      <c r="J397" s="2" t="s">
        <v>3107</v>
      </c>
      <c r="K397" s="2" t="s">
        <v>88</v>
      </c>
      <c r="L397" s="2" t="s">
        <v>43</v>
      </c>
      <c r="M397" s="2" t="s">
        <v>44</v>
      </c>
      <c r="N397" s="2"/>
      <c r="O397" s="2" t="n">
        <v>7.8002223</v>
      </c>
      <c r="P397" s="2" t="n">
        <v>98.3355683</v>
      </c>
      <c r="Q397" s="2"/>
      <c r="R397" s="2" t="s">
        <v>3108</v>
      </c>
      <c r="S397" s="2"/>
      <c r="T397" s="2"/>
      <c r="U397" s="2" t="s">
        <v>3109</v>
      </c>
      <c r="V397" s="2"/>
      <c r="W397" s="2" t="s">
        <v>2965</v>
      </c>
      <c r="X397" s="2"/>
      <c r="Y397" s="2" t="s">
        <v>48</v>
      </c>
      <c r="Z397" s="3" t="s">
        <v>3110</v>
      </c>
      <c r="AA397" s="2" t="s">
        <v>40</v>
      </c>
      <c r="AB397" s="2" t="s">
        <v>50</v>
      </c>
      <c r="AC397" s="2" t="n">
        <v>0</v>
      </c>
      <c r="AD397" s="2" t="n">
        <v>663</v>
      </c>
      <c r="AE397" s="2" t="n">
        <v>1</v>
      </c>
      <c r="AF397" s="2"/>
      <c r="AG397" s="2" t="s">
        <v>3111</v>
      </c>
      <c r="AH397" s="2" t="s">
        <v>3112</v>
      </c>
      <c r="AI397" s="2" t="n">
        <v>0</v>
      </c>
    </row>
    <row r="398" customFormat="false" ht="15" hidden="false" customHeight="false" outlineLevel="0" collapsed="false">
      <c r="A398" s="2" t="n">
        <v>91242</v>
      </c>
      <c r="B398" s="2" t="s">
        <v>3113</v>
      </c>
      <c r="C398" s="2"/>
      <c r="D398" s="2" t="s">
        <v>735</v>
      </c>
      <c r="E398" s="2" t="s">
        <v>37</v>
      </c>
      <c r="F398" s="2" t="s">
        <v>38</v>
      </c>
      <c r="G398" s="2" t="s">
        <v>39</v>
      </c>
      <c r="H398" s="2" t="s">
        <v>40</v>
      </c>
      <c r="I398" s="2" t="s">
        <v>40</v>
      </c>
      <c r="J398" s="2" t="s">
        <v>3114</v>
      </c>
      <c r="K398" s="2" t="s">
        <v>42</v>
      </c>
      <c r="L398" s="2" t="s">
        <v>43</v>
      </c>
      <c r="M398" s="2" t="s">
        <v>44</v>
      </c>
      <c r="N398" s="2"/>
      <c r="O398" s="2" t="n">
        <v>7.8767765</v>
      </c>
      <c r="P398" s="2" t="n">
        <v>98.3875753</v>
      </c>
      <c r="Q398" s="2"/>
      <c r="R398" s="2" t="s">
        <v>3115</v>
      </c>
      <c r="S398" s="2"/>
      <c r="T398" s="2"/>
      <c r="U398" s="2" t="s">
        <v>3116</v>
      </c>
      <c r="V398" s="2"/>
      <c r="W398" s="2" t="s">
        <v>1082</v>
      </c>
      <c r="X398" s="2"/>
      <c r="Y398" s="2" t="s">
        <v>48</v>
      </c>
      <c r="Z398" s="3" t="s">
        <v>3117</v>
      </c>
      <c r="AA398" s="2" t="s">
        <v>40</v>
      </c>
      <c r="AB398" s="2" t="s">
        <v>50</v>
      </c>
      <c r="AC398" s="2" t="n">
        <v>0</v>
      </c>
      <c r="AD398" s="2" t="n">
        <v>735</v>
      </c>
      <c r="AE398" s="2" t="n">
        <v>1</v>
      </c>
      <c r="AF398" s="2"/>
      <c r="AG398" s="2" t="s">
        <v>3118</v>
      </c>
      <c r="AH398" s="2" t="s">
        <v>3119</v>
      </c>
      <c r="AI398" s="2" t="n">
        <v>0</v>
      </c>
    </row>
    <row r="399" customFormat="false" ht="15" hidden="false" customHeight="false" outlineLevel="0" collapsed="false">
      <c r="A399" s="2" t="n">
        <v>91355</v>
      </c>
      <c r="B399" s="2" t="s">
        <v>3120</v>
      </c>
      <c r="C399" s="2"/>
      <c r="D399" s="2" t="s">
        <v>735</v>
      </c>
      <c r="E399" s="2" t="s">
        <v>37</v>
      </c>
      <c r="F399" s="2" t="s">
        <v>106</v>
      </c>
      <c r="G399" s="2" t="s">
        <v>39</v>
      </c>
      <c r="H399" s="2" t="s">
        <v>40</v>
      </c>
      <c r="I399" s="2" t="s">
        <v>40</v>
      </c>
      <c r="J399" s="2" t="s">
        <v>1708</v>
      </c>
      <c r="K399" s="2" t="s">
        <v>68</v>
      </c>
      <c r="L399" s="2" t="s">
        <v>43</v>
      </c>
      <c r="M399" s="2" t="s">
        <v>44</v>
      </c>
      <c r="N399" s="2"/>
      <c r="O399" s="2" t="n">
        <v>7.9011301</v>
      </c>
      <c r="P399" s="2" t="n">
        <v>98.3813587</v>
      </c>
      <c r="Q399" s="2"/>
      <c r="R399" s="2" t="s">
        <v>3121</v>
      </c>
      <c r="S399" s="2"/>
      <c r="T399" s="2"/>
      <c r="U399" s="2" t="s">
        <v>3122</v>
      </c>
      <c r="V399" s="2"/>
      <c r="W399" s="2" t="s">
        <v>292</v>
      </c>
      <c r="X399" s="2"/>
      <c r="Y399" s="2" t="s">
        <v>48</v>
      </c>
      <c r="Z399" s="3" t="s">
        <v>3123</v>
      </c>
      <c r="AA399" s="2" t="s">
        <v>40</v>
      </c>
      <c r="AB399" s="2" t="s">
        <v>50</v>
      </c>
      <c r="AC399" s="2" t="n">
        <v>0</v>
      </c>
      <c r="AD399" s="2" t="n">
        <v>713</v>
      </c>
      <c r="AE399" s="2" t="n">
        <v>1</v>
      </c>
      <c r="AF399" s="2"/>
      <c r="AG399" s="2" t="s">
        <v>3124</v>
      </c>
      <c r="AH399" s="2" t="s">
        <v>3125</v>
      </c>
      <c r="AI399" s="2" t="n">
        <v>0</v>
      </c>
    </row>
    <row r="400" customFormat="false" ht="15" hidden="false" customHeight="false" outlineLevel="0" collapsed="false">
      <c r="A400" s="2" t="n">
        <v>91454</v>
      </c>
      <c r="B400" s="2" t="s">
        <v>3126</v>
      </c>
      <c r="C400" s="2"/>
      <c r="D400" s="2" t="s">
        <v>3127</v>
      </c>
      <c r="E400" s="2" t="s">
        <v>37</v>
      </c>
      <c r="F400" s="2" t="s">
        <v>106</v>
      </c>
      <c r="G400" s="2" t="s">
        <v>39</v>
      </c>
      <c r="H400" s="2" t="s">
        <v>40</v>
      </c>
      <c r="I400" s="2" t="s">
        <v>40</v>
      </c>
      <c r="J400" s="2" t="s">
        <v>3128</v>
      </c>
      <c r="K400" s="2" t="s">
        <v>1953</v>
      </c>
      <c r="L400" s="2" t="s">
        <v>58</v>
      </c>
      <c r="M400" s="2" t="s">
        <v>44</v>
      </c>
      <c r="N400" s="2"/>
      <c r="O400" s="2" t="n">
        <v>7.9827913</v>
      </c>
      <c r="P400" s="2" t="n">
        <v>98.3661404</v>
      </c>
      <c r="Q400" s="2"/>
      <c r="R400" s="2" t="s">
        <v>3129</v>
      </c>
      <c r="S400" s="2"/>
      <c r="T400" s="2"/>
      <c r="U400" s="2" t="s">
        <v>3130</v>
      </c>
      <c r="V400" s="2"/>
      <c r="W400" s="2" t="s">
        <v>3131</v>
      </c>
      <c r="X400" s="2"/>
      <c r="Y400" s="2" t="s">
        <v>48</v>
      </c>
      <c r="Z400" s="3" t="s">
        <v>3132</v>
      </c>
      <c r="AA400" s="2" t="s">
        <v>40</v>
      </c>
      <c r="AB400" s="2" t="s">
        <v>50</v>
      </c>
      <c r="AC400" s="2" t="n">
        <v>0</v>
      </c>
      <c r="AD400" s="2" t="n">
        <v>703</v>
      </c>
      <c r="AE400" s="2" t="n">
        <v>0</v>
      </c>
      <c r="AF400" s="2"/>
      <c r="AG400" s="2" t="s">
        <v>3133</v>
      </c>
      <c r="AH400" s="2" t="s">
        <v>3134</v>
      </c>
      <c r="AI400" s="2" t="n">
        <v>0</v>
      </c>
    </row>
    <row r="401" customFormat="false" ht="15" hidden="false" customHeight="false" outlineLevel="0" collapsed="false">
      <c r="A401" s="2" t="n">
        <v>91307</v>
      </c>
      <c r="B401" s="2" t="s">
        <v>3135</v>
      </c>
      <c r="C401" s="2"/>
      <c r="D401" s="2" t="s">
        <v>2034</v>
      </c>
      <c r="E401" s="2" t="s">
        <v>117</v>
      </c>
      <c r="F401" s="2" t="s">
        <v>38</v>
      </c>
      <c r="G401" s="2" t="s">
        <v>39</v>
      </c>
      <c r="H401" s="2" t="s">
        <v>40</v>
      </c>
      <c r="I401" s="2" t="s">
        <v>40</v>
      </c>
      <c r="J401" s="2" t="s">
        <v>1915</v>
      </c>
      <c r="K401" s="2" t="s">
        <v>68</v>
      </c>
      <c r="L401" s="2" t="s">
        <v>43</v>
      </c>
      <c r="M401" s="2" t="s">
        <v>44</v>
      </c>
      <c r="N401" s="2"/>
      <c r="O401" s="2" t="n">
        <v>7.900346</v>
      </c>
      <c r="P401" s="2" t="n">
        <v>98.381819</v>
      </c>
      <c r="Q401" s="2"/>
      <c r="R401" s="2" t="s">
        <v>3136</v>
      </c>
      <c r="S401" s="2"/>
      <c r="T401" s="2"/>
      <c r="U401" s="2" t="s">
        <v>3137</v>
      </c>
      <c r="V401" s="2"/>
      <c r="W401" s="2" t="s">
        <v>761</v>
      </c>
      <c r="X401" s="2"/>
      <c r="Y401" s="2" t="s">
        <v>48</v>
      </c>
      <c r="Z401" s="3" t="s">
        <v>3138</v>
      </c>
      <c r="AA401" s="2" t="s">
        <v>40</v>
      </c>
      <c r="AB401" s="2" t="s">
        <v>50</v>
      </c>
      <c r="AC401" s="2" t="n">
        <v>0</v>
      </c>
      <c r="AD401" s="2" t="n">
        <v>657</v>
      </c>
      <c r="AE401" s="2" t="n">
        <v>0</v>
      </c>
      <c r="AF401" s="2"/>
      <c r="AG401" s="2" t="s">
        <v>3139</v>
      </c>
      <c r="AH401" s="2" t="s">
        <v>3140</v>
      </c>
      <c r="AI401" s="2" t="n">
        <v>0</v>
      </c>
    </row>
    <row r="402" customFormat="false" ht="15" hidden="false" customHeight="false" outlineLevel="0" collapsed="false">
      <c r="A402" s="2" t="n">
        <v>90902</v>
      </c>
      <c r="B402" s="2" t="s">
        <v>3141</v>
      </c>
      <c r="C402" s="2"/>
      <c r="D402" s="2" t="s">
        <v>481</v>
      </c>
      <c r="E402" s="2" t="s">
        <v>37</v>
      </c>
      <c r="F402" s="2" t="s">
        <v>38</v>
      </c>
      <c r="G402" s="2" t="s">
        <v>39</v>
      </c>
      <c r="H402" s="2" t="s">
        <v>40</v>
      </c>
      <c r="I402" s="2" t="s">
        <v>40</v>
      </c>
      <c r="J402" s="2" t="s">
        <v>3142</v>
      </c>
      <c r="K402" s="2" t="s">
        <v>109</v>
      </c>
      <c r="L402" s="2" t="s">
        <v>109</v>
      </c>
      <c r="M402" s="2" t="s">
        <v>44</v>
      </c>
      <c r="N402" s="2"/>
      <c r="O402" s="2" t="n">
        <v>7.903841</v>
      </c>
      <c r="P402" s="2" t="n">
        <v>98.3522835</v>
      </c>
      <c r="Q402" s="2"/>
      <c r="R402" s="2" t="s">
        <v>3143</v>
      </c>
      <c r="S402" s="2"/>
      <c r="T402" s="2"/>
      <c r="U402" s="2" t="s">
        <v>3144</v>
      </c>
      <c r="V402" s="2"/>
      <c r="W402" s="2" t="s">
        <v>3145</v>
      </c>
      <c r="X402" s="2"/>
      <c r="Y402" s="2" t="s">
        <v>48</v>
      </c>
      <c r="Z402" s="3" t="s">
        <v>3146</v>
      </c>
      <c r="AA402" s="2" t="s">
        <v>40</v>
      </c>
      <c r="AB402" s="2" t="s">
        <v>50</v>
      </c>
      <c r="AC402" s="2" t="n">
        <v>0</v>
      </c>
      <c r="AD402" s="2" t="n">
        <v>838</v>
      </c>
      <c r="AE402" s="2" t="n">
        <v>0</v>
      </c>
      <c r="AF402" s="2"/>
      <c r="AG402" s="2" t="s">
        <v>3147</v>
      </c>
      <c r="AH402" s="2" t="s">
        <v>3148</v>
      </c>
      <c r="AI402" s="2" t="n">
        <v>0</v>
      </c>
    </row>
    <row r="403" customFormat="false" ht="15" hidden="false" customHeight="false" outlineLevel="0" collapsed="false">
      <c r="A403" s="2" t="n">
        <v>90809</v>
      </c>
      <c r="B403" s="2" t="s">
        <v>3149</v>
      </c>
      <c r="C403" s="2"/>
      <c r="D403" s="2" t="s">
        <v>1937</v>
      </c>
      <c r="E403" s="2" t="s">
        <v>37</v>
      </c>
      <c r="F403" s="2" t="s">
        <v>38</v>
      </c>
      <c r="G403" s="2" t="s">
        <v>39</v>
      </c>
      <c r="H403" s="2" t="s">
        <v>40</v>
      </c>
      <c r="I403" s="2" t="s">
        <v>40</v>
      </c>
      <c r="J403" s="2" t="s">
        <v>3142</v>
      </c>
      <c r="K403" s="2" t="s">
        <v>109</v>
      </c>
      <c r="L403" s="2" t="s">
        <v>109</v>
      </c>
      <c r="M403" s="2" t="s">
        <v>44</v>
      </c>
      <c r="N403" s="2"/>
      <c r="O403" s="2" t="n">
        <v>7.9038364</v>
      </c>
      <c r="P403" s="2" t="n">
        <v>98.3522885</v>
      </c>
      <c r="Q403" s="2"/>
      <c r="R403" s="2" t="s">
        <v>3143</v>
      </c>
      <c r="S403" s="2"/>
      <c r="T403" s="2"/>
      <c r="U403" s="2" t="s">
        <v>3150</v>
      </c>
      <c r="V403" s="2"/>
      <c r="W403" s="2" t="s">
        <v>2368</v>
      </c>
      <c r="X403" s="2"/>
      <c r="Y403" s="2" t="s">
        <v>48</v>
      </c>
      <c r="Z403" s="3" t="s">
        <v>3151</v>
      </c>
      <c r="AA403" s="2" t="s">
        <v>40</v>
      </c>
      <c r="AB403" s="2" t="s">
        <v>50</v>
      </c>
      <c r="AC403" s="2" t="n">
        <v>0</v>
      </c>
      <c r="AD403" s="2" t="n">
        <v>671</v>
      </c>
      <c r="AE403" s="2" t="n">
        <v>0</v>
      </c>
      <c r="AF403" s="2"/>
      <c r="AG403" s="2" t="s">
        <v>3152</v>
      </c>
      <c r="AH403" s="2" t="s">
        <v>3153</v>
      </c>
      <c r="AI403" s="2" t="n">
        <v>0</v>
      </c>
    </row>
    <row r="404" customFormat="false" ht="15" hidden="false" customHeight="false" outlineLevel="0" collapsed="false">
      <c r="A404" s="2" t="n">
        <v>91315</v>
      </c>
      <c r="B404" s="2" t="s">
        <v>3154</v>
      </c>
      <c r="C404" s="2"/>
      <c r="D404" s="2" t="s">
        <v>262</v>
      </c>
      <c r="E404" s="2" t="s">
        <v>37</v>
      </c>
      <c r="F404" s="2" t="s">
        <v>38</v>
      </c>
      <c r="G404" s="2" t="s">
        <v>39</v>
      </c>
      <c r="H404" s="2" t="s">
        <v>40</v>
      </c>
      <c r="I404" s="2" t="s">
        <v>40</v>
      </c>
      <c r="J404" s="2" t="s">
        <v>3155</v>
      </c>
      <c r="K404" s="2" t="s">
        <v>42</v>
      </c>
      <c r="L404" s="2" t="s">
        <v>43</v>
      </c>
      <c r="M404" s="2" t="s">
        <v>44</v>
      </c>
      <c r="N404" s="2"/>
      <c r="O404" s="2" t="n">
        <v>7.885591</v>
      </c>
      <c r="P404" s="2" t="n">
        <v>98.387615</v>
      </c>
      <c r="Q404" s="2"/>
      <c r="R404" s="2" t="s">
        <v>3156</v>
      </c>
      <c r="S404" s="2"/>
      <c r="T404" s="2"/>
      <c r="U404" s="2" t="s">
        <v>3157</v>
      </c>
      <c r="V404" s="2"/>
      <c r="W404" s="2" t="s">
        <v>533</v>
      </c>
      <c r="X404" s="2"/>
      <c r="Y404" s="2" t="s">
        <v>48</v>
      </c>
      <c r="Z404" s="3" t="s">
        <v>3158</v>
      </c>
      <c r="AA404" s="2" t="s">
        <v>40</v>
      </c>
      <c r="AB404" s="2" t="s">
        <v>50</v>
      </c>
      <c r="AC404" s="2" t="n">
        <v>0</v>
      </c>
      <c r="AD404" s="2" t="n">
        <v>693</v>
      </c>
      <c r="AE404" s="2" t="n">
        <v>0</v>
      </c>
      <c r="AF404" s="2"/>
      <c r="AG404" s="2" t="s">
        <v>3159</v>
      </c>
      <c r="AH404" s="2" t="s">
        <v>3160</v>
      </c>
      <c r="AI404" s="2" t="n">
        <v>0</v>
      </c>
    </row>
    <row r="405" customFormat="false" ht="15" hidden="false" customHeight="false" outlineLevel="0" collapsed="false">
      <c r="A405" s="2" t="n">
        <v>91300</v>
      </c>
      <c r="B405" s="2" t="s">
        <v>3161</v>
      </c>
      <c r="C405" s="2"/>
      <c r="D405" s="2" t="s">
        <v>735</v>
      </c>
      <c r="E405" s="2" t="s">
        <v>37</v>
      </c>
      <c r="F405" s="2" t="s">
        <v>38</v>
      </c>
      <c r="G405" s="2" t="s">
        <v>39</v>
      </c>
      <c r="H405" s="2" t="s">
        <v>40</v>
      </c>
      <c r="I405" s="2" t="s">
        <v>40</v>
      </c>
      <c r="J405" s="2" t="s">
        <v>3162</v>
      </c>
      <c r="K405" s="2" t="s">
        <v>78</v>
      </c>
      <c r="L405" s="2" t="s">
        <v>43</v>
      </c>
      <c r="M405" s="2" t="s">
        <v>44</v>
      </c>
      <c r="N405" s="2"/>
      <c r="O405" s="2" t="n">
        <v>7.91748</v>
      </c>
      <c r="P405" s="2" t="n">
        <v>98.370216</v>
      </c>
      <c r="Q405" s="2"/>
      <c r="R405" s="2" t="s">
        <v>3163</v>
      </c>
      <c r="S405" s="2"/>
      <c r="T405" s="2"/>
      <c r="U405" s="2" t="s">
        <v>3164</v>
      </c>
      <c r="V405" s="2"/>
      <c r="W405" s="2" t="s">
        <v>3165</v>
      </c>
      <c r="X405" s="2"/>
      <c r="Y405" s="2" t="s">
        <v>48</v>
      </c>
      <c r="Z405" s="3" t="s">
        <v>3166</v>
      </c>
      <c r="AA405" s="2" t="s">
        <v>40</v>
      </c>
      <c r="AB405" s="2" t="s">
        <v>50</v>
      </c>
      <c r="AC405" s="2" t="n">
        <v>0</v>
      </c>
      <c r="AD405" s="2" t="n">
        <v>557</v>
      </c>
      <c r="AE405" s="2" t="n">
        <v>1</v>
      </c>
      <c r="AF405" s="2"/>
      <c r="AG405" s="2" t="s">
        <v>3167</v>
      </c>
      <c r="AH405" s="2" t="s">
        <v>3168</v>
      </c>
      <c r="AI405" s="2" t="n">
        <v>0</v>
      </c>
    </row>
    <row r="406" customFormat="false" ht="15" hidden="false" customHeight="false" outlineLevel="0" collapsed="false">
      <c r="A406" s="2" t="n">
        <v>91245</v>
      </c>
      <c r="B406" s="2" t="s">
        <v>3169</v>
      </c>
      <c r="C406" s="2"/>
      <c r="D406" s="2" t="s">
        <v>236</v>
      </c>
      <c r="E406" s="2" t="s">
        <v>117</v>
      </c>
      <c r="F406" s="2" t="s">
        <v>38</v>
      </c>
      <c r="G406" s="2" t="s">
        <v>39</v>
      </c>
      <c r="H406" s="2" t="s">
        <v>40</v>
      </c>
      <c r="I406" s="2" t="s">
        <v>40</v>
      </c>
      <c r="J406" s="2" t="s">
        <v>3170</v>
      </c>
      <c r="K406" s="2" t="s">
        <v>42</v>
      </c>
      <c r="L406" s="2" t="s">
        <v>43</v>
      </c>
      <c r="M406" s="2" t="s">
        <v>44</v>
      </c>
      <c r="N406" s="2"/>
      <c r="O406" s="2" t="n">
        <v>7.8852175</v>
      </c>
      <c r="P406" s="2" t="n">
        <v>98.3782433</v>
      </c>
      <c r="Q406" s="2"/>
      <c r="R406" s="2" t="s">
        <v>3171</v>
      </c>
      <c r="S406" s="2"/>
      <c r="T406" s="2"/>
      <c r="U406" s="2" t="s">
        <v>3172</v>
      </c>
      <c r="V406" s="2"/>
      <c r="W406" s="2" t="s">
        <v>567</v>
      </c>
      <c r="X406" s="2"/>
      <c r="Y406" s="2" t="s">
        <v>48</v>
      </c>
      <c r="Z406" s="3" t="s">
        <v>3173</v>
      </c>
      <c r="AA406" s="2" t="s">
        <v>40</v>
      </c>
      <c r="AB406" s="2" t="s">
        <v>50</v>
      </c>
      <c r="AC406" s="2" t="n">
        <v>0</v>
      </c>
      <c r="AD406" s="2" t="n">
        <v>621</v>
      </c>
      <c r="AE406" s="2" t="n">
        <v>1</v>
      </c>
      <c r="AF406" s="2"/>
      <c r="AG406" s="2" t="s">
        <v>3174</v>
      </c>
      <c r="AH406" s="2" t="s">
        <v>3175</v>
      </c>
      <c r="AI406" s="2" t="n">
        <v>0</v>
      </c>
    </row>
    <row r="407" customFormat="false" ht="15" hidden="false" customHeight="false" outlineLevel="0" collapsed="false">
      <c r="A407" s="2" t="n">
        <v>90833</v>
      </c>
      <c r="B407" s="2" t="s">
        <v>3176</v>
      </c>
      <c r="C407" s="2"/>
      <c r="D407" s="2" t="s">
        <v>1744</v>
      </c>
      <c r="E407" s="2" t="s">
        <v>37</v>
      </c>
      <c r="F407" s="2" t="s">
        <v>38</v>
      </c>
      <c r="G407" s="2" t="s">
        <v>39</v>
      </c>
      <c r="H407" s="2" t="s">
        <v>40</v>
      </c>
      <c r="I407" s="2" t="s">
        <v>40</v>
      </c>
      <c r="J407" s="2" t="s">
        <v>3177</v>
      </c>
      <c r="K407" s="2" t="s">
        <v>68</v>
      </c>
      <c r="L407" s="2" t="s">
        <v>43</v>
      </c>
      <c r="M407" s="2" t="s">
        <v>44</v>
      </c>
      <c r="N407" s="2"/>
      <c r="O407" s="2" t="n">
        <v>7.8835548</v>
      </c>
      <c r="P407" s="2" t="n">
        <v>98.3963248</v>
      </c>
      <c r="Q407" s="2" t="s">
        <v>3178</v>
      </c>
      <c r="R407" s="2"/>
      <c r="S407" s="2"/>
      <c r="T407" s="2"/>
      <c r="U407" s="2" t="s">
        <v>3179</v>
      </c>
      <c r="V407" s="2"/>
      <c r="W407" s="2" t="s">
        <v>3180</v>
      </c>
      <c r="X407" s="2"/>
      <c r="Y407" s="2" t="s">
        <v>48</v>
      </c>
      <c r="Z407" s="3" t="s">
        <v>3181</v>
      </c>
      <c r="AA407" s="2" t="s">
        <v>40</v>
      </c>
      <c r="AB407" s="2" t="s">
        <v>50</v>
      </c>
      <c r="AC407" s="2" t="n">
        <v>0</v>
      </c>
      <c r="AD407" s="2" t="n">
        <v>621</v>
      </c>
      <c r="AE407" s="2" t="n">
        <v>0</v>
      </c>
      <c r="AF407" s="2"/>
      <c r="AG407" s="2" t="s">
        <v>3182</v>
      </c>
      <c r="AH407" s="2" t="s">
        <v>3183</v>
      </c>
      <c r="AI407" s="2" t="n">
        <v>0</v>
      </c>
    </row>
    <row r="408" customFormat="false" ht="15" hidden="false" customHeight="false" outlineLevel="0" collapsed="false">
      <c r="A408" s="2" t="n">
        <v>91946</v>
      </c>
      <c r="B408" s="2" t="s">
        <v>3184</v>
      </c>
      <c r="C408" s="2"/>
      <c r="D408" s="2" t="s">
        <v>236</v>
      </c>
      <c r="E408" s="2" t="s">
        <v>117</v>
      </c>
      <c r="F408" s="2" t="s">
        <v>38</v>
      </c>
      <c r="G408" s="2" t="s">
        <v>39</v>
      </c>
      <c r="H408" s="2" t="s">
        <v>40</v>
      </c>
      <c r="I408" s="2" t="s">
        <v>40</v>
      </c>
      <c r="J408" s="2" t="s">
        <v>1562</v>
      </c>
      <c r="K408" s="2" t="s">
        <v>57</v>
      </c>
      <c r="L408" s="2" t="s">
        <v>58</v>
      </c>
      <c r="M408" s="2" t="s">
        <v>44</v>
      </c>
      <c r="N408" s="2"/>
      <c r="O408" s="2" t="n">
        <v>7.9941869</v>
      </c>
      <c r="P408" s="2" t="n">
        <v>98.3068418</v>
      </c>
      <c r="Q408" s="2"/>
      <c r="R408" s="2" t="s">
        <v>3185</v>
      </c>
      <c r="S408" s="2"/>
      <c r="T408" s="2"/>
      <c r="U408" s="2" t="s">
        <v>3186</v>
      </c>
      <c r="V408" s="2"/>
      <c r="W408" s="2" t="s">
        <v>635</v>
      </c>
      <c r="X408" s="2"/>
      <c r="Y408" s="2" t="s">
        <v>48</v>
      </c>
      <c r="Z408" s="3" t="s">
        <v>3187</v>
      </c>
      <c r="AA408" s="2" t="s">
        <v>40</v>
      </c>
      <c r="AB408" s="2" t="s">
        <v>50</v>
      </c>
      <c r="AC408" s="2" t="n">
        <v>0</v>
      </c>
      <c r="AD408" s="2" t="n">
        <v>571</v>
      </c>
      <c r="AE408" s="2" t="n">
        <v>1</v>
      </c>
      <c r="AF408" s="2"/>
      <c r="AG408" s="2" t="s">
        <v>3188</v>
      </c>
      <c r="AH408" s="2" t="s">
        <v>3189</v>
      </c>
      <c r="AI408" s="2" t="n">
        <v>0</v>
      </c>
    </row>
    <row r="409" customFormat="false" ht="15" hidden="false" customHeight="false" outlineLevel="0" collapsed="false">
      <c r="A409" s="2" t="n">
        <v>91804</v>
      </c>
      <c r="B409" s="2" t="s">
        <v>3190</v>
      </c>
      <c r="C409" s="2"/>
      <c r="D409" s="2" t="s">
        <v>589</v>
      </c>
      <c r="E409" s="2" t="s">
        <v>55</v>
      </c>
      <c r="F409" s="2" t="s">
        <v>106</v>
      </c>
      <c r="G409" s="2" t="s">
        <v>39</v>
      </c>
      <c r="H409" s="2" t="s">
        <v>40</v>
      </c>
      <c r="I409" s="2" t="s">
        <v>40</v>
      </c>
      <c r="J409" s="2" t="s">
        <v>1656</v>
      </c>
      <c r="K409" s="2" t="s">
        <v>42</v>
      </c>
      <c r="L409" s="2" t="s">
        <v>43</v>
      </c>
      <c r="M409" s="2" t="s">
        <v>44</v>
      </c>
      <c r="N409" s="2"/>
      <c r="O409" s="2" t="n">
        <v>7.886493</v>
      </c>
      <c r="P409" s="2" t="n">
        <v>98.385983</v>
      </c>
      <c r="Q409" s="2"/>
      <c r="R409" s="2" t="s">
        <v>3191</v>
      </c>
      <c r="S409" s="2"/>
      <c r="T409" s="2"/>
      <c r="U409" s="2" t="s">
        <v>3192</v>
      </c>
      <c r="V409" s="2"/>
      <c r="W409" s="2" t="s">
        <v>292</v>
      </c>
      <c r="X409" s="2"/>
      <c r="Y409" s="2" t="s">
        <v>48</v>
      </c>
      <c r="Z409" s="3" t="s">
        <v>3193</v>
      </c>
      <c r="AA409" s="2" t="s">
        <v>40</v>
      </c>
      <c r="AB409" s="2" t="s">
        <v>50</v>
      </c>
      <c r="AC409" s="2" t="n">
        <v>0</v>
      </c>
      <c r="AD409" s="2" t="n">
        <v>561</v>
      </c>
      <c r="AE409" s="2" t="n">
        <v>1</v>
      </c>
      <c r="AF409" s="2"/>
      <c r="AG409" s="2" t="s">
        <v>3194</v>
      </c>
      <c r="AH409" s="2" t="s">
        <v>3195</v>
      </c>
      <c r="AI409" s="2" t="n">
        <v>0</v>
      </c>
    </row>
    <row r="410" customFormat="false" ht="15" hidden="false" customHeight="false" outlineLevel="0" collapsed="false">
      <c r="A410" s="2" t="n">
        <v>91385</v>
      </c>
      <c r="B410" s="2" t="s">
        <v>3196</v>
      </c>
      <c r="C410" s="2"/>
      <c r="D410" s="2" t="s">
        <v>1945</v>
      </c>
      <c r="E410" s="2" t="s">
        <v>117</v>
      </c>
      <c r="F410" s="2" t="s">
        <v>129</v>
      </c>
      <c r="G410" s="2" t="s">
        <v>39</v>
      </c>
      <c r="H410" s="2" t="s">
        <v>40</v>
      </c>
      <c r="I410" s="2" t="s">
        <v>40</v>
      </c>
      <c r="J410" s="2" t="s">
        <v>263</v>
      </c>
      <c r="K410" s="2" t="s">
        <v>42</v>
      </c>
      <c r="L410" s="2" t="s">
        <v>43</v>
      </c>
      <c r="M410" s="2" t="s">
        <v>44</v>
      </c>
      <c r="N410" s="2"/>
      <c r="O410" s="2" t="n">
        <v>7.8710234</v>
      </c>
      <c r="P410" s="2" t="n">
        <v>98.3833047</v>
      </c>
      <c r="Q410" s="2"/>
      <c r="R410" s="2" t="s">
        <v>3197</v>
      </c>
      <c r="S410" s="2"/>
      <c r="T410" s="2"/>
      <c r="U410" s="2" t="s">
        <v>3198</v>
      </c>
      <c r="V410" s="2"/>
      <c r="W410" s="2" t="s">
        <v>3199</v>
      </c>
      <c r="X410" s="2"/>
      <c r="Y410" s="2" t="s">
        <v>48</v>
      </c>
      <c r="Z410" s="3" t="s">
        <v>3200</v>
      </c>
      <c r="AA410" s="2" t="s">
        <v>40</v>
      </c>
      <c r="AB410" s="2" t="s">
        <v>50</v>
      </c>
      <c r="AC410" s="2" t="n">
        <v>0</v>
      </c>
      <c r="AD410" s="2" t="n">
        <v>703</v>
      </c>
      <c r="AE410" s="2" t="n">
        <v>0</v>
      </c>
      <c r="AF410" s="2"/>
      <c r="AG410" s="2" t="s">
        <v>3201</v>
      </c>
      <c r="AH410" s="2" t="s">
        <v>3202</v>
      </c>
      <c r="AI410" s="2" t="n">
        <v>0</v>
      </c>
    </row>
    <row r="411" customFormat="false" ht="15" hidden="false" customHeight="false" outlineLevel="0" collapsed="false">
      <c r="A411" s="2" t="n">
        <v>91176</v>
      </c>
      <c r="B411" s="2" t="s">
        <v>3203</v>
      </c>
      <c r="C411" s="2"/>
      <c r="D411" s="2" t="s">
        <v>236</v>
      </c>
      <c r="E411" s="2" t="s">
        <v>117</v>
      </c>
      <c r="F411" s="2" t="s">
        <v>38</v>
      </c>
      <c r="G411" s="2" t="s">
        <v>39</v>
      </c>
      <c r="H411" s="2" t="s">
        <v>40</v>
      </c>
      <c r="I411" s="2" t="s">
        <v>40</v>
      </c>
      <c r="J411" s="2" t="s">
        <v>3204</v>
      </c>
      <c r="K411" s="2" t="s">
        <v>78</v>
      </c>
      <c r="L411" s="2" t="s">
        <v>43</v>
      </c>
      <c r="M411" s="2" t="s">
        <v>44</v>
      </c>
      <c r="N411" s="2"/>
      <c r="O411" s="2" t="n">
        <v>7.9056455</v>
      </c>
      <c r="P411" s="2" t="n">
        <v>98.3777313</v>
      </c>
      <c r="Q411" s="2"/>
      <c r="R411" s="2" t="s">
        <v>3205</v>
      </c>
      <c r="S411" s="2"/>
      <c r="T411" s="2"/>
      <c r="U411" s="2" t="s">
        <v>3206</v>
      </c>
      <c r="V411" s="2"/>
      <c r="W411" s="2" t="s">
        <v>1155</v>
      </c>
      <c r="X411" s="2"/>
      <c r="Y411" s="2" t="s">
        <v>48</v>
      </c>
      <c r="Z411" s="3" t="s">
        <v>3207</v>
      </c>
      <c r="AA411" s="2" t="s">
        <v>40</v>
      </c>
      <c r="AB411" s="2" t="s">
        <v>50</v>
      </c>
      <c r="AC411" s="2" t="n">
        <v>0</v>
      </c>
      <c r="AD411" s="2" t="n">
        <v>718</v>
      </c>
      <c r="AE411" s="2" t="n">
        <v>1</v>
      </c>
      <c r="AF411" s="2"/>
      <c r="AG411" s="2" t="s">
        <v>3208</v>
      </c>
      <c r="AH411" s="2" t="s">
        <v>3209</v>
      </c>
      <c r="AI411" s="2" t="n">
        <v>0</v>
      </c>
    </row>
    <row r="412" customFormat="false" ht="15" hidden="false" customHeight="false" outlineLevel="0" collapsed="false">
      <c r="A412" s="2" t="n">
        <v>90908</v>
      </c>
      <c r="B412" s="2" t="s">
        <v>3210</v>
      </c>
      <c r="C412" s="2"/>
      <c r="D412" s="2" t="s">
        <v>76</v>
      </c>
      <c r="E412" s="2" t="s">
        <v>117</v>
      </c>
      <c r="F412" s="2" t="s">
        <v>2160</v>
      </c>
      <c r="G412" s="2" t="s">
        <v>39</v>
      </c>
      <c r="H412" s="2" t="s">
        <v>40</v>
      </c>
      <c r="I412" s="2" t="s">
        <v>40</v>
      </c>
      <c r="J412" s="2" t="s">
        <v>1524</v>
      </c>
      <c r="K412" s="2" t="s">
        <v>68</v>
      </c>
      <c r="L412" s="2" t="s">
        <v>43</v>
      </c>
      <c r="M412" s="2" t="s">
        <v>44</v>
      </c>
      <c r="N412" s="2"/>
      <c r="O412" s="2" t="n">
        <v>7.9013593</v>
      </c>
      <c r="P412" s="2" t="n">
        <v>98.3776996</v>
      </c>
      <c r="Q412" s="2" t="s">
        <v>3211</v>
      </c>
      <c r="R412" s="2"/>
      <c r="S412" s="2"/>
      <c r="T412" s="2"/>
      <c r="U412" s="2" t="s">
        <v>3212</v>
      </c>
      <c r="V412" s="2"/>
      <c r="W412" s="2" t="s">
        <v>549</v>
      </c>
      <c r="X412" s="2"/>
      <c r="Y412" s="2" t="s">
        <v>48</v>
      </c>
      <c r="Z412" s="3" t="s">
        <v>3213</v>
      </c>
      <c r="AA412" s="2" t="s">
        <v>40</v>
      </c>
      <c r="AB412" s="2" t="s">
        <v>50</v>
      </c>
      <c r="AC412" s="2" t="n">
        <v>0</v>
      </c>
      <c r="AD412" s="2" t="n">
        <v>725</v>
      </c>
      <c r="AE412" s="2" t="n">
        <v>0</v>
      </c>
      <c r="AF412" s="2"/>
      <c r="AG412" s="2" t="s">
        <v>3214</v>
      </c>
      <c r="AH412" s="2" t="s">
        <v>3215</v>
      </c>
      <c r="AI412" s="2" t="n">
        <v>0</v>
      </c>
    </row>
    <row r="413" customFormat="false" ht="15" hidden="false" customHeight="false" outlineLevel="0" collapsed="false">
      <c r="A413" s="2" t="n">
        <v>90929</v>
      </c>
      <c r="B413" s="2" t="s">
        <v>3216</v>
      </c>
      <c r="C413" s="2"/>
      <c r="D413" s="2" t="s">
        <v>157</v>
      </c>
      <c r="E413" s="2" t="s">
        <v>37</v>
      </c>
      <c r="F413" s="2" t="s">
        <v>38</v>
      </c>
      <c r="G413" s="2" t="s">
        <v>39</v>
      </c>
      <c r="H413" s="2" t="s">
        <v>40</v>
      </c>
      <c r="I413" s="2" t="s">
        <v>40</v>
      </c>
      <c r="J413" s="2" t="s">
        <v>1586</v>
      </c>
      <c r="K413" s="2" t="s">
        <v>68</v>
      </c>
      <c r="L413" s="2" t="s">
        <v>43</v>
      </c>
      <c r="M413" s="2" t="s">
        <v>44</v>
      </c>
      <c r="N413" s="2"/>
      <c r="O413" s="2" t="n">
        <v>7.8797767</v>
      </c>
      <c r="P413" s="2" t="n">
        <v>98.3976345</v>
      </c>
      <c r="Q413" s="2"/>
      <c r="R413" s="2" t="s">
        <v>3217</v>
      </c>
      <c r="S413" s="2"/>
      <c r="T413" s="2"/>
      <c r="U413" s="2" t="s">
        <v>3218</v>
      </c>
      <c r="V413" s="2"/>
      <c r="W413" s="2" t="s">
        <v>3219</v>
      </c>
      <c r="X413" s="2"/>
      <c r="Y413" s="2" t="s">
        <v>48</v>
      </c>
      <c r="Z413" s="3" t="s">
        <v>3220</v>
      </c>
      <c r="AA413" s="2" t="s">
        <v>40</v>
      </c>
      <c r="AB413" s="2" t="s">
        <v>50</v>
      </c>
      <c r="AC413" s="2" t="n">
        <v>0</v>
      </c>
      <c r="AD413" s="2" t="n">
        <v>1236</v>
      </c>
      <c r="AE413" s="2" t="n">
        <v>0</v>
      </c>
      <c r="AF413" s="2"/>
      <c r="AG413" s="2" t="s">
        <v>3221</v>
      </c>
      <c r="AH413" s="2" t="s">
        <v>3222</v>
      </c>
      <c r="AI413" s="2" t="n">
        <v>0</v>
      </c>
    </row>
    <row r="414" customFormat="false" ht="15" hidden="false" customHeight="false" outlineLevel="0" collapsed="false">
      <c r="A414" s="2" t="n">
        <v>90837</v>
      </c>
      <c r="B414" s="2" t="s">
        <v>3223</v>
      </c>
      <c r="C414" s="2"/>
      <c r="D414" s="2" t="s">
        <v>3224</v>
      </c>
      <c r="E414" s="2" t="s">
        <v>55</v>
      </c>
      <c r="F414" s="2" t="s">
        <v>38</v>
      </c>
      <c r="G414" s="2" t="s">
        <v>39</v>
      </c>
      <c r="H414" s="2" t="s">
        <v>40</v>
      </c>
      <c r="I414" s="2" t="s">
        <v>40</v>
      </c>
      <c r="J414" s="2" t="s">
        <v>3225</v>
      </c>
      <c r="K414" s="2" t="s">
        <v>333</v>
      </c>
      <c r="L414" s="2" t="s">
        <v>58</v>
      </c>
      <c r="M414" s="2" t="s">
        <v>44</v>
      </c>
      <c r="N414" s="2"/>
      <c r="O414" s="2" t="n">
        <v>8.041882</v>
      </c>
      <c r="P414" s="2" t="n">
        <v>98.395341</v>
      </c>
      <c r="Q414" s="2"/>
      <c r="R414" s="2" t="s">
        <v>3226</v>
      </c>
      <c r="S414" s="2"/>
      <c r="T414" s="2"/>
      <c r="U414" s="2" t="s">
        <v>3227</v>
      </c>
      <c r="V414" s="2"/>
      <c r="W414" s="2" t="s">
        <v>3228</v>
      </c>
      <c r="X414" s="2"/>
      <c r="Y414" s="2" t="s">
        <v>48</v>
      </c>
      <c r="Z414" s="3" t="s">
        <v>3229</v>
      </c>
      <c r="AA414" s="2" t="s">
        <v>40</v>
      </c>
      <c r="AB414" s="2" t="s">
        <v>50</v>
      </c>
      <c r="AC414" s="2" t="n">
        <v>0</v>
      </c>
      <c r="AD414" s="2" t="n">
        <v>627</v>
      </c>
      <c r="AE414" s="2" t="n">
        <v>0</v>
      </c>
      <c r="AF414" s="2"/>
      <c r="AG414" s="2" t="s">
        <v>3230</v>
      </c>
      <c r="AH414" s="2" t="s">
        <v>3231</v>
      </c>
      <c r="AI414" s="2" t="n">
        <v>0</v>
      </c>
    </row>
    <row r="415" customFormat="false" ht="15" hidden="false" customHeight="false" outlineLevel="0" collapsed="false">
      <c r="A415" s="2" t="n">
        <v>92079</v>
      </c>
      <c r="B415" s="2" t="s">
        <v>3232</v>
      </c>
      <c r="C415" s="2"/>
      <c r="D415" s="2" t="s">
        <v>654</v>
      </c>
      <c r="E415" s="2" t="s">
        <v>55</v>
      </c>
      <c r="F415" s="2" t="s">
        <v>129</v>
      </c>
      <c r="G415" s="2" t="s">
        <v>39</v>
      </c>
      <c r="H415" s="2" t="s">
        <v>40</v>
      </c>
      <c r="I415" s="2" t="s">
        <v>40</v>
      </c>
      <c r="J415" s="2" t="s">
        <v>382</v>
      </c>
      <c r="K415" s="2" t="s">
        <v>131</v>
      </c>
      <c r="L415" s="2" t="s">
        <v>58</v>
      </c>
      <c r="M415" s="2" t="s">
        <v>44</v>
      </c>
      <c r="N415" s="2"/>
      <c r="O415" s="2" t="n">
        <v>8.0900142</v>
      </c>
      <c r="P415" s="2" t="n">
        <v>98.2981975</v>
      </c>
      <c r="Q415" s="2"/>
      <c r="R415" s="2" t="s">
        <v>3233</v>
      </c>
      <c r="S415" s="2"/>
      <c r="T415" s="2"/>
      <c r="U415" s="2" t="s">
        <v>3234</v>
      </c>
      <c r="V415" s="2"/>
      <c r="W415" s="2" t="s">
        <v>485</v>
      </c>
      <c r="X415" s="2"/>
      <c r="Y415" s="2" t="s">
        <v>48</v>
      </c>
      <c r="Z415" s="3" t="s">
        <v>3235</v>
      </c>
      <c r="AA415" s="2" t="s">
        <v>40</v>
      </c>
      <c r="AB415" s="2" t="s">
        <v>50</v>
      </c>
      <c r="AC415" s="2" t="n">
        <v>0</v>
      </c>
      <c r="AD415" s="2" t="n">
        <v>530</v>
      </c>
      <c r="AE415" s="2" t="n">
        <v>1</v>
      </c>
      <c r="AF415" s="2"/>
      <c r="AG415" s="2" t="s">
        <v>3236</v>
      </c>
      <c r="AH415" s="2" t="s">
        <v>3237</v>
      </c>
      <c r="AI415" s="2" t="n">
        <v>0</v>
      </c>
    </row>
    <row r="416" customFormat="false" ht="15" hidden="false" customHeight="false" outlineLevel="0" collapsed="false">
      <c r="A416" s="2" t="n">
        <v>91415</v>
      </c>
      <c r="B416" s="2" t="s">
        <v>3238</v>
      </c>
      <c r="C416" s="2"/>
      <c r="D416" s="2" t="s">
        <v>236</v>
      </c>
      <c r="E416" s="2" t="s">
        <v>117</v>
      </c>
      <c r="F416" s="2" t="s">
        <v>38</v>
      </c>
      <c r="G416" s="2" t="s">
        <v>39</v>
      </c>
      <c r="H416" s="2" t="s">
        <v>40</v>
      </c>
      <c r="I416" s="2" t="s">
        <v>40</v>
      </c>
      <c r="J416" s="2" t="s">
        <v>774</v>
      </c>
      <c r="K416" s="2" t="s">
        <v>78</v>
      </c>
      <c r="L416" s="2" t="s">
        <v>43</v>
      </c>
      <c r="M416" s="2" t="s">
        <v>44</v>
      </c>
      <c r="N416" s="2"/>
      <c r="O416" s="2" t="n">
        <v>7.9071328</v>
      </c>
      <c r="P416" s="2" t="n">
        <v>98.373439</v>
      </c>
      <c r="Q416" s="2"/>
      <c r="R416" s="2" t="s">
        <v>3239</v>
      </c>
      <c r="S416" s="2"/>
      <c r="T416" s="2"/>
      <c r="U416" s="2" t="s">
        <v>3240</v>
      </c>
      <c r="V416" s="2"/>
      <c r="W416" s="2" t="s">
        <v>2817</v>
      </c>
      <c r="X416" s="2"/>
      <c r="Y416" s="2" t="s">
        <v>48</v>
      </c>
      <c r="Z416" s="3" t="s">
        <v>3241</v>
      </c>
      <c r="AA416" s="2" t="s">
        <v>40</v>
      </c>
      <c r="AB416" s="2" t="s">
        <v>50</v>
      </c>
      <c r="AC416" s="2" t="n">
        <v>0</v>
      </c>
      <c r="AD416" s="2" t="n">
        <v>775</v>
      </c>
      <c r="AE416" s="2" t="n">
        <v>0</v>
      </c>
      <c r="AF416" s="2"/>
      <c r="AG416" s="2" t="s">
        <v>3242</v>
      </c>
      <c r="AH416" s="2" t="s">
        <v>3243</v>
      </c>
      <c r="AI416" s="2" t="n">
        <v>0</v>
      </c>
    </row>
    <row r="417" customFormat="false" ht="15" hidden="false" customHeight="false" outlineLevel="0" collapsed="false">
      <c r="A417" s="2" t="n">
        <v>91462</v>
      </c>
      <c r="B417" s="2" t="s">
        <v>3244</v>
      </c>
      <c r="C417" s="2"/>
      <c r="D417" s="2" t="s">
        <v>157</v>
      </c>
      <c r="E417" s="2" t="s">
        <v>37</v>
      </c>
      <c r="F417" s="2" t="s">
        <v>106</v>
      </c>
      <c r="G417" s="2" t="s">
        <v>39</v>
      </c>
      <c r="H417" s="2" t="s">
        <v>40</v>
      </c>
      <c r="I417" s="2" t="s">
        <v>40</v>
      </c>
      <c r="J417" s="2" t="s">
        <v>3245</v>
      </c>
      <c r="K417" s="2" t="s">
        <v>68</v>
      </c>
      <c r="L417" s="2" t="s">
        <v>43</v>
      </c>
      <c r="M417" s="2" t="s">
        <v>44</v>
      </c>
      <c r="N417" s="2"/>
      <c r="O417" s="2" t="n">
        <v>7.88452</v>
      </c>
      <c r="P417" s="2" t="n">
        <v>98.390874</v>
      </c>
      <c r="Q417" s="2"/>
      <c r="R417" s="2" t="s">
        <v>3246</v>
      </c>
      <c r="S417" s="2"/>
      <c r="T417" s="2"/>
      <c r="U417" s="2" t="s">
        <v>3247</v>
      </c>
      <c r="V417" s="2"/>
      <c r="W417" s="2" t="s">
        <v>3248</v>
      </c>
      <c r="X417" s="2"/>
      <c r="Y417" s="2" t="s">
        <v>48</v>
      </c>
      <c r="Z417" s="3" t="s">
        <v>3249</v>
      </c>
      <c r="AA417" s="2" t="s">
        <v>40</v>
      </c>
      <c r="AB417" s="2" t="s">
        <v>50</v>
      </c>
      <c r="AC417" s="2" t="n">
        <v>0</v>
      </c>
      <c r="AD417" s="2" t="n">
        <v>1324</v>
      </c>
      <c r="AE417" s="2" t="n">
        <v>1</v>
      </c>
      <c r="AF417" s="2"/>
      <c r="AG417" s="2" t="s">
        <v>3250</v>
      </c>
      <c r="AH417" s="2" t="s">
        <v>3251</v>
      </c>
      <c r="AI417" s="2" t="n">
        <v>0</v>
      </c>
    </row>
    <row r="418" customFormat="false" ht="15" hidden="false" customHeight="false" outlineLevel="0" collapsed="false">
      <c r="A418" s="2" t="n">
        <v>91411</v>
      </c>
      <c r="B418" s="2" t="s">
        <v>3252</v>
      </c>
      <c r="C418" s="2"/>
      <c r="D418" s="2" t="s">
        <v>3253</v>
      </c>
      <c r="E418" s="2" t="s">
        <v>117</v>
      </c>
      <c r="F418" s="2" t="s">
        <v>129</v>
      </c>
      <c r="G418" s="2" t="s">
        <v>39</v>
      </c>
      <c r="H418" s="2" t="s">
        <v>40</v>
      </c>
      <c r="I418" s="2" t="s">
        <v>40</v>
      </c>
      <c r="J418" s="2" t="s">
        <v>77</v>
      </c>
      <c r="K418" s="2" t="s">
        <v>78</v>
      </c>
      <c r="L418" s="2" t="s">
        <v>43</v>
      </c>
      <c r="M418" s="2" t="s">
        <v>44</v>
      </c>
      <c r="N418" s="2"/>
      <c r="O418" s="2" t="n">
        <v>7.9214373</v>
      </c>
      <c r="P418" s="2" t="n">
        <v>98.3707738</v>
      </c>
      <c r="Q418" s="2"/>
      <c r="R418" s="2" t="s">
        <v>3254</v>
      </c>
      <c r="S418" s="2"/>
      <c r="T418" s="2"/>
      <c r="U418" s="2" t="s">
        <v>3255</v>
      </c>
      <c r="V418" s="2"/>
      <c r="W418" s="2" t="s">
        <v>3256</v>
      </c>
      <c r="X418" s="2"/>
      <c r="Y418" s="2" t="s">
        <v>48</v>
      </c>
      <c r="Z418" s="3" t="s">
        <v>3257</v>
      </c>
      <c r="AA418" s="2" t="s">
        <v>40</v>
      </c>
      <c r="AB418" s="2" t="s">
        <v>50</v>
      </c>
      <c r="AC418" s="2" t="n">
        <v>0</v>
      </c>
      <c r="AD418" s="2" t="n">
        <v>552</v>
      </c>
      <c r="AE418" s="2" t="n">
        <v>0</v>
      </c>
      <c r="AF418" s="2"/>
      <c r="AG418" s="2" t="s">
        <v>3258</v>
      </c>
      <c r="AH418" s="2" t="s">
        <v>3259</v>
      </c>
      <c r="AI418" s="2" t="n">
        <v>0</v>
      </c>
    </row>
    <row r="419" customFormat="false" ht="15" hidden="false" customHeight="false" outlineLevel="0" collapsed="false">
      <c r="A419" s="2" t="n">
        <v>91333</v>
      </c>
      <c r="B419" s="2" t="s">
        <v>3260</v>
      </c>
      <c r="C419" s="2"/>
      <c r="D419" s="2" t="s">
        <v>2513</v>
      </c>
      <c r="E419" s="2" t="s">
        <v>55</v>
      </c>
      <c r="F419" s="2" t="s">
        <v>129</v>
      </c>
      <c r="G419" s="2" t="s">
        <v>39</v>
      </c>
      <c r="H419" s="2" t="s">
        <v>40</v>
      </c>
      <c r="I419" s="2" t="s">
        <v>40</v>
      </c>
      <c r="J419" s="2" t="s">
        <v>158</v>
      </c>
      <c r="K419" s="2" t="s">
        <v>78</v>
      </c>
      <c r="L419" s="2" t="s">
        <v>43</v>
      </c>
      <c r="M419" s="2" t="s">
        <v>44</v>
      </c>
      <c r="N419" s="2"/>
      <c r="O419" s="2" t="n">
        <v>7.8809251</v>
      </c>
      <c r="P419" s="2" t="n">
        <v>98.3680858</v>
      </c>
      <c r="Q419" s="2"/>
      <c r="R419" s="2" t="s">
        <v>3261</v>
      </c>
      <c r="S419" s="2"/>
      <c r="T419" s="2"/>
      <c r="U419" s="2" t="s">
        <v>3262</v>
      </c>
      <c r="V419" s="2"/>
      <c r="W419" s="2" t="s">
        <v>292</v>
      </c>
      <c r="X419" s="2"/>
      <c r="Y419" s="2" t="s">
        <v>48</v>
      </c>
      <c r="Z419" s="3" t="s">
        <v>3263</v>
      </c>
      <c r="AA419" s="2" t="s">
        <v>40</v>
      </c>
      <c r="AB419" s="2" t="s">
        <v>50</v>
      </c>
      <c r="AC419" s="2" t="n">
        <v>0</v>
      </c>
      <c r="AD419" s="2" t="n">
        <v>1392</v>
      </c>
      <c r="AE419" s="2" t="n">
        <v>0</v>
      </c>
      <c r="AF419" s="2"/>
      <c r="AG419" s="2" t="s">
        <v>3264</v>
      </c>
      <c r="AH419" s="2" t="s">
        <v>3265</v>
      </c>
      <c r="AI419" s="2" t="n">
        <v>0</v>
      </c>
    </row>
    <row r="420" customFormat="false" ht="15" hidden="false" customHeight="false" outlineLevel="0" collapsed="false">
      <c r="A420" s="2" t="n">
        <v>91359</v>
      </c>
      <c r="B420" s="2" t="s">
        <v>3266</v>
      </c>
      <c r="C420" s="2"/>
      <c r="D420" s="2" t="s">
        <v>236</v>
      </c>
      <c r="E420" s="2" t="s">
        <v>37</v>
      </c>
      <c r="F420" s="2" t="s">
        <v>2160</v>
      </c>
      <c r="G420" s="2" t="s">
        <v>39</v>
      </c>
      <c r="H420" s="2" t="s">
        <v>40</v>
      </c>
      <c r="I420" s="2" t="s">
        <v>40</v>
      </c>
      <c r="J420" s="2" t="s">
        <v>3267</v>
      </c>
      <c r="K420" s="2" t="s">
        <v>42</v>
      </c>
      <c r="L420" s="2" t="s">
        <v>43</v>
      </c>
      <c r="M420" s="2" t="s">
        <v>44</v>
      </c>
      <c r="N420" s="2"/>
      <c r="O420" s="2" t="n">
        <v>7.8872103</v>
      </c>
      <c r="P420" s="2" t="n">
        <v>98.3752769</v>
      </c>
      <c r="Q420" s="2"/>
      <c r="R420" s="2" t="s">
        <v>3268</v>
      </c>
      <c r="S420" s="2"/>
      <c r="T420" s="2"/>
      <c r="U420" s="2" t="s">
        <v>3269</v>
      </c>
      <c r="V420" s="2"/>
      <c r="W420" s="2" t="s">
        <v>1665</v>
      </c>
      <c r="X420" s="2"/>
      <c r="Y420" s="2" t="s">
        <v>48</v>
      </c>
      <c r="Z420" s="3" t="s">
        <v>3270</v>
      </c>
      <c r="AA420" s="2" t="s">
        <v>40</v>
      </c>
      <c r="AB420" s="2" t="s">
        <v>50</v>
      </c>
      <c r="AC420" s="2" t="n">
        <v>0</v>
      </c>
      <c r="AD420" s="2" t="n">
        <v>679</v>
      </c>
      <c r="AE420" s="2" t="n">
        <v>0</v>
      </c>
      <c r="AF420" s="2"/>
      <c r="AG420" s="2" t="s">
        <v>3271</v>
      </c>
      <c r="AH420" s="2" t="s">
        <v>3272</v>
      </c>
      <c r="AI420" s="2" t="n">
        <v>0</v>
      </c>
    </row>
    <row r="421" customFormat="false" ht="15" hidden="false" customHeight="false" outlineLevel="0" collapsed="false">
      <c r="A421" s="2" t="n">
        <v>91331</v>
      </c>
      <c r="B421" s="2" t="s">
        <v>3273</v>
      </c>
      <c r="C421" s="2"/>
      <c r="D421" s="2" t="s">
        <v>236</v>
      </c>
      <c r="E421" s="2" t="s">
        <v>37</v>
      </c>
      <c r="F421" s="2" t="s">
        <v>38</v>
      </c>
      <c r="G421" s="2" t="s">
        <v>39</v>
      </c>
      <c r="H421" s="2" t="s">
        <v>40</v>
      </c>
      <c r="I421" s="2" t="s">
        <v>40</v>
      </c>
      <c r="J421" s="2" t="s">
        <v>854</v>
      </c>
      <c r="K421" s="2" t="s">
        <v>78</v>
      </c>
      <c r="L421" s="2" t="s">
        <v>43</v>
      </c>
      <c r="M421" s="2" t="s">
        <v>44</v>
      </c>
      <c r="N421" s="2"/>
      <c r="O421" s="2" t="n">
        <v>7.9135407</v>
      </c>
      <c r="P421" s="2" t="n">
        <v>98.371179</v>
      </c>
      <c r="Q421" s="2"/>
      <c r="R421" s="2" t="s">
        <v>3274</v>
      </c>
      <c r="S421" s="2"/>
      <c r="T421" s="2"/>
      <c r="U421" s="2" t="s">
        <v>3275</v>
      </c>
      <c r="V421" s="2"/>
      <c r="W421" s="2" t="s">
        <v>1082</v>
      </c>
      <c r="X421" s="2"/>
      <c r="Y421" s="2" t="s">
        <v>48</v>
      </c>
      <c r="Z421" s="3" t="s">
        <v>3276</v>
      </c>
      <c r="AA421" s="2" t="s">
        <v>40</v>
      </c>
      <c r="AB421" s="2" t="s">
        <v>50</v>
      </c>
      <c r="AC421" s="2" t="n">
        <v>0</v>
      </c>
      <c r="AD421" s="2" t="n">
        <v>706</v>
      </c>
      <c r="AE421" s="2" t="n">
        <v>0</v>
      </c>
      <c r="AF421" s="2"/>
      <c r="AG421" s="2" t="s">
        <v>3277</v>
      </c>
      <c r="AH421" s="2" t="s">
        <v>3278</v>
      </c>
      <c r="AI421" s="2" t="n">
        <v>0</v>
      </c>
    </row>
    <row r="422" customFormat="false" ht="15" hidden="false" customHeight="false" outlineLevel="0" collapsed="false">
      <c r="A422" s="2" t="n">
        <v>90915</v>
      </c>
      <c r="B422" s="2" t="s">
        <v>3279</v>
      </c>
      <c r="C422" s="2"/>
      <c r="D422" s="2" t="s">
        <v>2268</v>
      </c>
      <c r="E422" s="2" t="s">
        <v>37</v>
      </c>
      <c r="F422" s="2" t="s">
        <v>38</v>
      </c>
      <c r="G422" s="2" t="s">
        <v>39</v>
      </c>
      <c r="H422" s="2" t="s">
        <v>40</v>
      </c>
      <c r="I422" s="2" t="s">
        <v>40</v>
      </c>
      <c r="J422" s="2" t="s">
        <v>3267</v>
      </c>
      <c r="K422" s="2" t="s">
        <v>42</v>
      </c>
      <c r="L422" s="2" t="s">
        <v>43</v>
      </c>
      <c r="M422" s="2" t="s">
        <v>44</v>
      </c>
      <c r="N422" s="2"/>
      <c r="O422" s="2" t="n">
        <v>7.886164</v>
      </c>
      <c r="P422" s="2" t="n">
        <v>98.375772</v>
      </c>
      <c r="Q422" s="2"/>
      <c r="R422" s="2" t="s">
        <v>3280</v>
      </c>
      <c r="S422" s="2"/>
      <c r="T422" s="2"/>
      <c r="U422" s="2" t="s">
        <v>3281</v>
      </c>
      <c r="V422" s="2"/>
      <c r="W422" s="2" t="s">
        <v>3131</v>
      </c>
      <c r="X422" s="2"/>
      <c r="Y422" s="2" t="s">
        <v>48</v>
      </c>
      <c r="Z422" s="3" t="s">
        <v>3282</v>
      </c>
      <c r="AA422" s="2" t="s">
        <v>40</v>
      </c>
      <c r="AB422" s="2" t="s">
        <v>50</v>
      </c>
      <c r="AC422" s="2" t="n">
        <v>0</v>
      </c>
      <c r="AD422" s="2" t="n">
        <v>812</v>
      </c>
      <c r="AE422" s="2" t="n">
        <v>0</v>
      </c>
      <c r="AF422" s="2"/>
      <c r="AG422" s="2" t="s">
        <v>3283</v>
      </c>
      <c r="AH422" s="2" t="s">
        <v>3284</v>
      </c>
      <c r="AI422" s="2" t="n">
        <v>0</v>
      </c>
    </row>
    <row r="423" customFormat="false" ht="15" hidden="false" customHeight="false" outlineLevel="0" collapsed="false">
      <c r="A423" s="2" t="n">
        <v>91482</v>
      </c>
      <c r="B423" s="2" t="s">
        <v>3285</v>
      </c>
      <c r="C423" s="2"/>
      <c r="D423" s="2" t="s">
        <v>2102</v>
      </c>
      <c r="E423" s="2" t="s">
        <v>55</v>
      </c>
      <c r="F423" s="2" t="s">
        <v>129</v>
      </c>
      <c r="G423" s="2" t="s">
        <v>39</v>
      </c>
      <c r="H423" s="2" t="s">
        <v>40</v>
      </c>
      <c r="I423" s="2" t="s">
        <v>40</v>
      </c>
      <c r="J423" s="2" t="s">
        <v>158</v>
      </c>
      <c r="K423" s="2" t="s">
        <v>78</v>
      </c>
      <c r="L423" s="2" t="s">
        <v>43</v>
      </c>
      <c r="M423" s="2" t="s">
        <v>44</v>
      </c>
      <c r="N423" s="2"/>
      <c r="O423" s="2" t="n">
        <v>7.8811775</v>
      </c>
      <c r="P423" s="2" t="n">
        <v>98.3696923</v>
      </c>
      <c r="Q423" s="2" t="s">
        <v>3286</v>
      </c>
      <c r="R423" s="2"/>
      <c r="S423" s="2"/>
      <c r="T423" s="2"/>
      <c r="U423" s="2" t="s">
        <v>3287</v>
      </c>
      <c r="V423" s="2"/>
      <c r="W423" s="2" t="s">
        <v>834</v>
      </c>
      <c r="X423" s="2"/>
      <c r="Y423" s="2" t="s">
        <v>48</v>
      </c>
      <c r="Z423" s="3" t="s">
        <v>3288</v>
      </c>
      <c r="AA423" s="2" t="s">
        <v>40</v>
      </c>
      <c r="AB423" s="2" t="s">
        <v>50</v>
      </c>
      <c r="AC423" s="2" t="n">
        <v>0</v>
      </c>
      <c r="AD423" s="2" t="n">
        <v>835</v>
      </c>
      <c r="AE423" s="2" t="n">
        <v>1</v>
      </c>
      <c r="AF423" s="2"/>
      <c r="AG423" s="2" t="s">
        <v>3289</v>
      </c>
      <c r="AH423" s="2" t="s">
        <v>3290</v>
      </c>
      <c r="AI423" s="2" t="n">
        <v>0</v>
      </c>
    </row>
    <row r="424" customFormat="false" ht="15" hidden="false" customHeight="false" outlineLevel="0" collapsed="false">
      <c r="A424" s="2" t="n">
        <v>91406</v>
      </c>
      <c r="B424" s="2" t="s">
        <v>3291</v>
      </c>
      <c r="C424" s="2"/>
      <c r="D424" s="2" t="s">
        <v>3292</v>
      </c>
      <c r="E424" s="2" t="s">
        <v>37</v>
      </c>
      <c r="F424" s="2" t="s">
        <v>106</v>
      </c>
      <c r="G424" s="2" t="s">
        <v>39</v>
      </c>
      <c r="H424" s="2" t="s">
        <v>40</v>
      </c>
      <c r="I424" s="2" t="s">
        <v>40</v>
      </c>
      <c r="J424" s="2" t="s">
        <v>782</v>
      </c>
      <c r="K424" s="2" t="s">
        <v>474</v>
      </c>
      <c r="L424" s="2" t="s">
        <v>43</v>
      </c>
      <c r="M424" s="2" t="s">
        <v>44</v>
      </c>
      <c r="N424" s="2"/>
      <c r="O424" s="2" t="n">
        <v>7.861813</v>
      </c>
      <c r="P424" s="2" t="n">
        <v>98.3523</v>
      </c>
      <c r="Q424" s="2"/>
      <c r="R424" s="2" t="s">
        <v>3293</v>
      </c>
      <c r="S424" s="2"/>
      <c r="T424" s="2"/>
      <c r="U424" s="2" t="s">
        <v>3294</v>
      </c>
      <c r="V424" s="2"/>
      <c r="W424" s="2" t="s">
        <v>3295</v>
      </c>
      <c r="X424" s="2"/>
      <c r="Y424" s="2" t="s">
        <v>48</v>
      </c>
      <c r="Z424" s="3" t="s">
        <v>3296</v>
      </c>
      <c r="AA424" s="2" t="s">
        <v>40</v>
      </c>
      <c r="AB424" s="2" t="s">
        <v>50</v>
      </c>
      <c r="AC424" s="2" t="n">
        <v>0</v>
      </c>
      <c r="AD424" s="2" t="n">
        <v>807</v>
      </c>
      <c r="AE424" s="2" t="n">
        <v>0</v>
      </c>
      <c r="AF424" s="2"/>
      <c r="AG424" s="2" t="s">
        <v>3297</v>
      </c>
      <c r="AH424" s="2" t="s">
        <v>3298</v>
      </c>
      <c r="AI424" s="2" t="n">
        <v>0</v>
      </c>
    </row>
    <row r="425" customFormat="false" ht="15" hidden="false" customHeight="false" outlineLevel="0" collapsed="false">
      <c r="A425" s="2" t="n">
        <v>91391</v>
      </c>
      <c r="B425" s="2" t="s">
        <v>3299</v>
      </c>
      <c r="C425" s="2"/>
      <c r="D425" s="2" t="s">
        <v>414</v>
      </c>
      <c r="E425" s="2" t="s">
        <v>37</v>
      </c>
      <c r="F425" s="2" t="s">
        <v>38</v>
      </c>
      <c r="G425" s="2" t="s">
        <v>39</v>
      </c>
      <c r="H425" s="2" t="s">
        <v>40</v>
      </c>
      <c r="I425" s="2" t="s">
        <v>40</v>
      </c>
      <c r="J425" s="2" t="s">
        <v>3300</v>
      </c>
      <c r="K425" s="2" t="s">
        <v>68</v>
      </c>
      <c r="L425" s="2" t="s">
        <v>43</v>
      </c>
      <c r="M425" s="2" t="s">
        <v>44</v>
      </c>
      <c r="N425" s="2"/>
      <c r="O425" s="2" t="n">
        <v>7.883227</v>
      </c>
      <c r="P425" s="2" t="n">
        <v>98.393765</v>
      </c>
      <c r="Q425" s="2"/>
      <c r="R425" s="2" t="s">
        <v>3301</v>
      </c>
      <c r="S425" s="2"/>
      <c r="T425" s="2"/>
      <c r="U425" s="2" t="s">
        <v>3302</v>
      </c>
      <c r="V425" s="2"/>
      <c r="W425" s="2" t="s">
        <v>2701</v>
      </c>
      <c r="X425" s="2"/>
      <c r="Y425" s="2" t="s">
        <v>48</v>
      </c>
      <c r="Z425" s="3" t="s">
        <v>3303</v>
      </c>
      <c r="AA425" s="2" t="s">
        <v>40</v>
      </c>
      <c r="AB425" s="2" t="s">
        <v>50</v>
      </c>
      <c r="AC425" s="2" t="n">
        <v>0</v>
      </c>
      <c r="AD425" s="2" t="n">
        <v>878</v>
      </c>
      <c r="AE425" s="2" t="n">
        <v>0</v>
      </c>
      <c r="AF425" s="2"/>
      <c r="AG425" s="2" t="s">
        <v>3304</v>
      </c>
      <c r="AH425" s="2" t="s">
        <v>3305</v>
      </c>
      <c r="AI425" s="2" t="n">
        <v>0</v>
      </c>
    </row>
    <row r="426" customFormat="false" ht="15" hidden="false" customHeight="false" outlineLevel="0" collapsed="false">
      <c r="A426" s="2" t="n">
        <v>91441</v>
      </c>
      <c r="B426" s="2" t="s">
        <v>3306</v>
      </c>
      <c r="C426" s="2"/>
      <c r="D426" s="2" t="s">
        <v>2388</v>
      </c>
      <c r="E426" s="2" t="s">
        <v>37</v>
      </c>
      <c r="F426" s="2" t="s">
        <v>106</v>
      </c>
      <c r="G426" s="2" t="s">
        <v>39</v>
      </c>
      <c r="H426" s="2" t="s">
        <v>40</v>
      </c>
      <c r="I426" s="2" t="s">
        <v>40</v>
      </c>
      <c r="J426" s="2" t="s">
        <v>3307</v>
      </c>
      <c r="K426" s="2" t="s">
        <v>68</v>
      </c>
      <c r="L426" s="2" t="s">
        <v>43</v>
      </c>
      <c r="M426" s="2" t="s">
        <v>44</v>
      </c>
      <c r="N426" s="2"/>
      <c r="O426" s="2" t="n">
        <v>7.8960241</v>
      </c>
      <c r="P426" s="2" t="n">
        <v>98.3865686</v>
      </c>
      <c r="Q426" s="2"/>
      <c r="R426" s="2" t="s">
        <v>3308</v>
      </c>
      <c r="S426" s="2"/>
      <c r="T426" s="2"/>
      <c r="U426" s="2" t="s">
        <v>3309</v>
      </c>
      <c r="V426" s="2"/>
      <c r="W426" s="2" t="s">
        <v>761</v>
      </c>
      <c r="X426" s="2"/>
      <c r="Y426" s="2" t="s">
        <v>48</v>
      </c>
      <c r="Z426" s="3" t="s">
        <v>3310</v>
      </c>
      <c r="AA426" s="2" t="s">
        <v>40</v>
      </c>
      <c r="AB426" s="2" t="s">
        <v>50</v>
      </c>
      <c r="AC426" s="2" t="n">
        <v>0</v>
      </c>
      <c r="AD426" s="2" t="n">
        <v>682</v>
      </c>
      <c r="AE426" s="2" t="n">
        <v>1</v>
      </c>
      <c r="AF426" s="2"/>
      <c r="AG426" s="2" t="s">
        <v>3311</v>
      </c>
      <c r="AH426" s="2" t="s">
        <v>3312</v>
      </c>
      <c r="AI426" s="2" t="n">
        <v>0</v>
      </c>
    </row>
    <row r="427" customFormat="false" ht="15" hidden="false" customHeight="false" outlineLevel="0" collapsed="false">
      <c r="A427" s="2" t="n">
        <v>91484</v>
      </c>
      <c r="B427" s="2" t="s">
        <v>3313</v>
      </c>
      <c r="C427" s="2"/>
      <c r="D427" s="2" t="s">
        <v>2388</v>
      </c>
      <c r="E427" s="2" t="s">
        <v>37</v>
      </c>
      <c r="F427" s="2" t="s">
        <v>38</v>
      </c>
      <c r="G427" s="2" t="s">
        <v>39</v>
      </c>
      <c r="H427" s="2" t="s">
        <v>40</v>
      </c>
      <c r="I427" s="2" t="s">
        <v>40</v>
      </c>
      <c r="J427" s="2" t="s">
        <v>3314</v>
      </c>
      <c r="K427" s="2" t="s">
        <v>42</v>
      </c>
      <c r="L427" s="2" t="s">
        <v>43</v>
      </c>
      <c r="M427" s="2" t="s">
        <v>44</v>
      </c>
      <c r="N427" s="2"/>
      <c r="O427" s="2" t="n">
        <v>7.880471</v>
      </c>
      <c r="P427" s="2" t="n">
        <v>98.378297</v>
      </c>
      <c r="Q427" s="2"/>
      <c r="R427" s="2" t="s">
        <v>3315</v>
      </c>
      <c r="S427" s="2"/>
      <c r="T427" s="2"/>
      <c r="U427" s="2" t="s">
        <v>3316</v>
      </c>
      <c r="V427" s="2"/>
      <c r="W427" s="2" t="s">
        <v>3317</v>
      </c>
      <c r="X427" s="2"/>
      <c r="Y427" s="2" t="s">
        <v>48</v>
      </c>
      <c r="Z427" s="3" t="s">
        <v>3318</v>
      </c>
      <c r="AA427" s="2" t="s">
        <v>40</v>
      </c>
      <c r="AB427" s="2" t="s">
        <v>50</v>
      </c>
      <c r="AC427" s="2" t="n">
        <v>0</v>
      </c>
      <c r="AD427" s="2" t="n">
        <v>819</v>
      </c>
      <c r="AE427" s="2" t="n">
        <v>0</v>
      </c>
      <c r="AF427" s="2"/>
      <c r="AG427" s="2" t="s">
        <v>3319</v>
      </c>
      <c r="AH427" s="2" t="s">
        <v>3320</v>
      </c>
      <c r="AI427" s="2" t="n">
        <v>0</v>
      </c>
    </row>
    <row r="428" customFormat="false" ht="15" hidden="false" customHeight="false" outlineLevel="0" collapsed="false">
      <c r="A428" s="2" t="n">
        <v>91470</v>
      </c>
      <c r="B428" s="2" t="s">
        <v>3321</v>
      </c>
      <c r="C428" s="2"/>
      <c r="D428" s="2" t="s">
        <v>726</v>
      </c>
      <c r="E428" s="2" t="s">
        <v>37</v>
      </c>
      <c r="F428" s="2" t="s">
        <v>106</v>
      </c>
      <c r="G428" s="2" t="s">
        <v>39</v>
      </c>
      <c r="H428" s="2" t="s">
        <v>40</v>
      </c>
      <c r="I428" s="2" t="s">
        <v>40</v>
      </c>
      <c r="J428" s="2" t="s">
        <v>3322</v>
      </c>
      <c r="K428" s="2" t="s">
        <v>219</v>
      </c>
      <c r="L428" s="2" t="s">
        <v>43</v>
      </c>
      <c r="M428" s="2" t="s">
        <v>44</v>
      </c>
      <c r="N428" s="2"/>
      <c r="O428" s="2" t="n">
        <v>7.9349663</v>
      </c>
      <c r="P428" s="2" t="n">
        <v>98.4136097</v>
      </c>
      <c r="Q428" s="2"/>
      <c r="R428" s="2" t="s">
        <v>3323</v>
      </c>
      <c r="S428" s="2"/>
      <c r="T428" s="2"/>
      <c r="U428" s="2" t="s">
        <v>3324</v>
      </c>
      <c r="V428" s="2"/>
      <c r="W428" s="2" t="s">
        <v>452</v>
      </c>
      <c r="X428" s="2"/>
      <c r="Y428" s="2" t="s">
        <v>48</v>
      </c>
      <c r="Z428" s="3" t="s">
        <v>3325</v>
      </c>
      <c r="AA428" s="2" t="s">
        <v>40</v>
      </c>
      <c r="AB428" s="2" t="s">
        <v>50</v>
      </c>
      <c r="AC428" s="2" t="n">
        <v>0</v>
      </c>
      <c r="AD428" s="2" t="n">
        <v>924</v>
      </c>
      <c r="AE428" s="2" t="n">
        <v>1</v>
      </c>
      <c r="AF428" s="2"/>
      <c r="AG428" s="2" t="s">
        <v>3326</v>
      </c>
      <c r="AH428" s="2" t="s">
        <v>3327</v>
      </c>
      <c r="AI428" s="2" t="n">
        <v>0</v>
      </c>
    </row>
    <row r="429" customFormat="false" ht="15" hidden="false" customHeight="false" outlineLevel="0" collapsed="false">
      <c r="A429" s="2" t="n">
        <v>91250</v>
      </c>
      <c r="B429" s="2" t="s">
        <v>3328</v>
      </c>
      <c r="C429" s="2"/>
      <c r="D429" s="2" t="s">
        <v>654</v>
      </c>
      <c r="E429" s="2" t="s">
        <v>37</v>
      </c>
      <c r="F429" s="2" t="s">
        <v>38</v>
      </c>
      <c r="G429" s="2" t="s">
        <v>39</v>
      </c>
      <c r="H429" s="2" t="s">
        <v>40</v>
      </c>
      <c r="I429" s="2" t="s">
        <v>40</v>
      </c>
      <c r="J429" s="2" t="s">
        <v>3329</v>
      </c>
      <c r="K429" s="2" t="s">
        <v>68</v>
      </c>
      <c r="L429" s="2" t="s">
        <v>43</v>
      </c>
      <c r="M429" s="2" t="s">
        <v>44</v>
      </c>
      <c r="N429" s="2"/>
      <c r="O429" s="2" t="n">
        <v>7.901041</v>
      </c>
      <c r="P429" s="2" t="n">
        <v>98.37944</v>
      </c>
      <c r="Q429" s="2"/>
      <c r="R429" s="2" t="s">
        <v>3330</v>
      </c>
      <c r="S429" s="2"/>
      <c r="T429" s="2"/>
      <c r="U429" s="2" t="s">
        <v>3331</v>
      </c>
      <c r="V429" s="2"/>
      <c r="W429" s="2" t="s">
        <v>3332</v>
      </c>
      <c r="X429" s="2"/>
      <c r="Y429" s="2" t="s">
        <v>48</v>
      </c>
      <c r="Z429" s="3" t="s">
        <v>3333</v>
      </c>
      <c r="AA429" s="2" t="s">
        <v>40</v>
      </c>
      <c r="AB429" s="2" t="s">
        <v>50</v>
      </c>
      <c r="AC429" s="2" t="n">
        <v>0</v>
      </c>
      <c r="AD429" s="2" t="n">
        <v>717</v>
      </c>
      <c r="AE429" s="2" t="n">
        <v>1</v>
      </c>
      <c r="AF429" s="2"/>
      <c r="AG429" s="2" t="s">
        <v>3334</v>
      </c>
      <c r="AH429" s="2" t="s">
        <v>3335</v>
      </c>
      <c r="AI429" s="2" t="n">
        <v>0</v>
      </c>
    </row>
    <row r="430" customFormat="false" ht="15" hidden="false" customHeight="false" outlineLevel="0" collapsed="false">
      <c r="A430" s="2" t="n">
        <v>91373</v>
      </c>
      <c r="B430" s="2" t="s">
        <v>3336</v>
      </c>
      <c r="C430" s="2"/>
      <c r="D430" s="2" t="s">
        <v>262</v>
      </c>
      <c r="E430" s="2" t="s">
        <v>37</v>
      </c>
      <c r="F430" s="2" t="s">
        <v>38</v>
      </c>
      <c r="G430" s="2" t="s">
        <v>39</v>
      </c>
      <c r="H430" s="2" t="s">
        <v>40</v>
      </c>
      <c r="I430" s="2" t="s">
        <v>40</v>
      </c>
      <c r="J430" s="2" t="s">
        <v>2254</v>
      </c>
      <c r="K430" s="2" t="s">
        <v>120</v>
      </c>
      <c r="L430" s="2" t="s">
        <v>58</v>
      </c>
      <c r="M430" s="2" t="s">
        <v>44</v>
      </c>
      <c r="N430" s="2"/>
      <c r="O430" s="2" t="n">
        <v>8.17709</v>
      </c>
      <c r="P430" s="2" t="n">
        <v>98.298553</v>
      </c>
      <c r="Q430" s="2" t="s">
        <v>3337</v>
      </c>
      <c r="R430" s="2"/>
      <c r="S430" s="2"/>
      <c r="T430" s="2"/>
      <c r="U430" s="2" t="s">
        <v>3338</v>
      </c>
      <c r="V430" s="2"/>
      <c r="W430" s="2" t="s">
        <v>3339</v>
      </c>
      <c r="X430" s="2"/>
      <c r="Y430" s="2" t="s">
        <v>48</v>
      </c>
      <c r="Z430" s="3" t="s">
        <v>3340</v>
      </c>
      <c r="AA430" s="2" t="s">
        <v>40</v>
      </c>
      <c r="AB430" s="2" t="s">
        <v>50</v>
      </c>
      <c r="AC430" s="2" t="n">
        <v>0</v>
      </c>
      <c r="AD430" s="2" t="n">
        <v>704</v>
      </c>
      <c r="AE430" s="2" t="n">
        <v>1</v>
      </c>
      <c r="AF430" s="2"/>
      <c r="AG430" s="2" t="s">
        <v>3341</v>
      </c>
      <c r="AH430" s="2" t="s">
        <v>3342</v>
      </c>
      <c r="AI430" s="2" t="n">
        <v>0</v>
      </c>
    </row>
    <row r="431" customFormat="false" ht="15" hidden="false" customHeight="false" outlineLevel="0" collapsed="false">
      <c r="A431" s="2" t="n">
        <v>91148</v>
      </c>
      <c r="B431" s="2" t="s">
        <v>3343</v>
      </c>
      <c r="C431" s="2"/>
      <c r="D431" s="2" t="s">
        <v>3344</v>
      </c>
      <c r="E431" s="2" t="s">
        <v>37</v>
      </c>
      <c r="F431" s="2" t="s">
        <v>129</v>
      </c>
      <c r="G431" s="2" t="s">
        <v>39</v>
      </c>
      <c r="H431" s="2" t="s">
        <v>40</v>
      </c>
      <c r="I431" s="2" t="s">
        <v>40</v>
      </c>
      <c r="J431" s="2" t="s">
        <v>3345</v>
      </c>
      <c r="K431" s="2" t="s">
        <v>68</v>
      </c>
      <c r="L431" s="2" t="s">
        <v>43</v>
      </c>
      <c r="M431" s="2" t="s">
        <v>44</v>
      </c>
      <c r="N431" s="2"/>
      <c r="O431" s="2" t="n">
        <v>7.8822395</v>
      </c>
      <c r="P431" s="2" t="n">
        <v>98.3922868</v>
      </c>
      <c r="Q431" s="2"/>
      <c r="R431" s="2" t="s">
        <v>3346</v>
      </c>
      <c r="S431" s="2"/>
      <c r="T431" s="2"/>
      <c r="U431" s="2" t="s">
        <v>3347</v>
      </c>
      <c r="V431" s="2"/>
      <c r="W431" s="2" t="s">
        <v>3348</v>
      </c>
      <c r="X431" s="2"/>
      <c r="Y431" s="2" t="s">
        <v>48</v>
      </c>
      <c r="Z431" s="3" t="s">
        <v>3349</v>
      </c>
      <c r="AA431" s="2" t="s">
        <v>40</v>
      </c>
      <c r="AB431" s="2" t="s">
        <v>50</v>
      </c>
      <c r="AC431" s="2" t="n">
        <v>0</v>
      </c>
      <c r="AD431" s="2" t="n">
        <v>666</v>
      </c>
      <c r="AE431" s="2" t="n">
        <v>1</v>
      </c>
      <c r="AF431" s="2"/>
      <c r="AG431" s="2" t="s">
        <v>3350</v>
      </c>
      <c r="AH431" s="2" t="s">
        <v>3351</v>
      </c>
      <c r="AI431" s="2" t="n">
        <v>0</v>
      </c>
    </row>
    <row r="432" customFormat="false" ht="15" hidden="false" customHeight="false" outlineLevel="0" collapsed="false">
      <c r="A432" s="2" t="n">
        <v>90879</v>
      </c>
      <c r="B432" s="2" t="s">
        <v>3352</v>
      </c>
      <c r="C432" s="2"/>
      <c r="D432" s="2" t="s">
        <v>236</v>
      </c>
      <c r="E432" s="2" t="s">
        <v>37</v>
      </c>
      <c r="F432" s="2" t="s">
        <v>38</v>
      </c>
      <c r="G432" s="2" t="s">
        <v>39</v>
      </c>
      <c r="H432" s="2" t="s">
        <v>40</v>
      </c>
      <c r="I432" s="2" t="s">
        <v>40</v>
      </c>
      <c r="J432" s="2" t="s">
        <v>87</v>
      </c>
      <c r="K432" s="2" t="s">
        <v>88</v>
      </c>
      <c r="L432" s="2" t="s">
        <v>43</v>
      </c>
      <c r="M432" s="2" t="s">
        <v>44</v>
      </c>
      <c r="N432" s="2"/>
      <c r="O432" s="2" t="n">
        <v>7.764011</v>
      </c>
      <c r="P432" s="2" t="n">
        <v>98.305414</v>
      </c>
      <c r="Q432" s="2" t="s">
        <v>3353</v>
      </c>
      <c r="R432" s="2"/>
      <c r="S432" s="2"/>
      <c r="T432" s="2"/>
      <c r="U432" s="2" t="s">
        <v>3354</v>
      </c>
      <c r="V432" s="2"/>
      <c r="W432" s="2" t="s">
        <v>452</v>
      </c>
      <c r="X432" s="2"/>
      <c r="Y432" s="2" t="s">
        <v>48</v>
      </c>
      <c r="Z432" s="3" t="s">
        <v>3355</v>
      </c>
      <c r="AA432" s="2" t="s">
        <v>40</v>
      </c>
      <c r="AB432" s="2" t="s">
        <v>50</v>
      </c>
      <c r="AC432" s="2" t="n">
        <v>0</v>
      </c>
      <c r="AD432" s="2" t="n">
        <v>974</v>
      </c>
      <c r="AE432" s="2" t="n">
        <v>1</v>
      </c>
      <c r="AF432" s="2"/>
      <c r="AG432" s="2" t="s">
        <v>3356</v>
      </c>
      <c r="AH432" s="2" t="s">
        <v>3357</v>
      </c>
      <c r="AI432" s="2" t="n">
        <v>0</v>
      </c>
    </row>
    <row r="433" customFormat="false" ht="15" hidden="false" customHeight="false" outlineLevel="0" collapsed="false">
      <c r="A433" s="2" t="n">
        <v>90806</v>
      </c>
      <c r="B433" s="2" t="s">
        <v>3358</v>
      </c>
      <c r="C433" s="2"/>
      <c r="D433" s="2" t="s">
        <v>3359</v>
      </c>
      <c r="E433" s="2" t="s">
        <v>55</v>
      </c>
      <c r="F433" s="2" t="s">
        <v>129</v>
      </c>
      <c r="G433" s="2" t="s">
        <v>39</v>
      </c>
      <c r="H433" s="2" t="s">
        <v>40</v>
      </c>
      <c r="I433" s="2" t="s">
        <v>40</v>
      </c>
      <c r="J433" s="2" t="s">
        <v>218</v>
      </c>
      <c r="K433" s="2" t="s">
        <v>219</v>
      </c>
      <c r="L433" s="2" t="s">
        <v>43</v>
      </c>
      <c r="M433" s="2" t="s">
        <v>44</v>
      </c>
      <c r="N433" s="2"/>
      <c r="O433" s="2" t="n">
        <v>7.9356695</v>
      </c>
      <c r="P433" s="2" t="n">
        <v>98.4075012</v>
      </c>
      <c r="Q433" s="2"/>
      <c r="R433" s="2" t="s">
        <v>3360</v>
      </c>
      <c r="S433" s="2"/>
      <c r="T433" s="2"/>
      <c r="U433" s="2" t="s">
        <v>3361</v>
      </c>
      <c r="V433" s="2"/>
      <c r="W433" s="2" t="s">
        <v>452</v>
      </c>
      <c r="X433" s="2"/>
      <c r="Y433" s="2" t="s">
        <v>48</v>
      </c>
      <c r="Z433" s="3" t="s">
        <v>3362</v>
      </c>
      <c r="AA433" s="2" t="s">
        <v>40</v>
      </c>
      <c r="AB433" s="2" t="s">
        <v>50</v>
      </c>
      <c r="AC433" s="2" t="n">
        <v>0</v>
      </c>
      <c r="AD433" s="2" t="n">
        <v>830</v>
      </c>
      <c r="AE433" s="2" t="n">
        <v>0</v>
      </c>
      <c r="AF433" s="2"/>
      <c r="AG433" s="2" t="s">
        <v>3363</v>
      </c>
      <c r="AH433" s="2" t="s">
        <v>3364</v>
      </c>
      <c r="AI433" s="2" t="n">
        <v>0</v>
      </c>
    </row>
    <row r="434" customFormat="false" ht="15" hidden="false" customHeight="false" outlineLevel="0" collapsed="false">
      <c r="A434" s="2" t="n">
        <v>91365</v>
      </c>
      <c r="B434" s="2" t="s">
        <v>3365</v>
      </c>
      <c r="C434" s="2"/>
      <c r="D434" s="2" t="s">
        <v>236</v>
      </c>
      <c r="E434" s="2" t="s">
        <v>55</v>
      </c>
      <c r="F434" s="2" t="s">
        <v>106</v>
      </c>
      <c r="G434" s="2" t="s">
        <v>39</v>
      </c>
      <c r="H434" s="2" t="s">
        <v>40</v>
      </c>
      <c r="I434" s="2" t="s">
        <v>40</v>
      </c>
      <c r="J434" s="2" t="s">
        <v>3366</v>
      </c>
      <c r="K434" s="2" t="s">
        <v>42</v>
      </c>
      <c r="L434" s="2" t="s">
        <v>43</v>
      </c>
      <c r="M434" s="2" t="s">
        <v>44</v>
      </c>
      <c r="N434" s="2"/>
      <c r="O434" s="2" t="n">
        <v>7.8833523</v>
      </c>
      <c r="P434" s="2" t="n">
        <v>98.3876113</v>
      </c>
      <c r="Q434" s="2"/>
      <c r="R434" s="2" t="s">
        <v>3367</v>
      </c>
      <c r="S434" s="2"/>
      <c r="T434" s="2"/>
      <c r="U434" s="2" t="s">
        <v>3368</v>
      </c>
      <c r="V434" s="2"/>
      <c r="W434" s="2" t="s">
        <v>161</v>
      </c>
      <c r="X434" s="2"/>
      <c r="Y434" s="2" t="s">
        <v>48</v>
      </c>
      <c r="Z434" s="3" t="s">
        <v>3369</v>
      </c>
      <c r="AA434" s="2" t="s">
        <v>40</v>
      </c>
      <c r="AB434" s="2" t="s">
        <v>50</v>
      </c>
      <c r="AC434" s="2" t="n">
        <v>0</v>
      </c>
      <c r="AD434" s="2" t="n">
        <v>705</v>
      </c>
      <c r="AE434" s="2" t="n">
        <v>1</v>
      </c>
      <c r="AF434" s="2"/>
      <c r="AG434" s="2" t="s">
        <v>3370</v>
      </c>
      <c r="AH434" s="2" t="s">
        <v>3371</v>
      </c>
      <c r="AI434" s="2" t="n">
        <v>0</v>
      </c>
    </row>
    <row r="435" customFormat="false" ht="15" hidden="false" customHeight="false" outlineLevel="0" collapsed="false">
      <c r="A435" s="2" t="n">
        <v>90831</v>
      </c>
      <c r="B435" s="2" t="s">
        <v>3372</v>
      </c>
      <c r="C435" s="2"/>
      <c r="D435" s="2" t="s">
        <v>2119</v>
      </c>
      <c r="E435" s="2" t="s">
        <v>37</v>
      </c>
      <c r="F435" s="2" t="s">
        <v>38</v>
      </c>
      <c r="G435" s="2" t="s">
        <v>39</v>
      </c>
      <c r="H435" s="2" t="s">
        <v>40</v>
      </c>
      <c r="I435" s="2" t="s">
        <v>40</v>
      </c>
      <c r="J435" s="2" t="s">
        <v>67</v>
      </c>
      <c r="K435" s="2" t="s">
        <v>68</v>
      </c>
      <c r="L435" s="2" t="s">
        <v>43</v>
      </c>
      <c r="M435" s="2" t="s">
        <v>44</v>
      </c>
      <c r="N435" s="2"/>
      <c r="O435" s="2" t="n">
        <v>7.8847557</v>
      </c>
      <c r="P435" s="2" t="n">
        <v>98.3879808</v>
      </c>
      <c r="Q435" s="2"/>
      <c r="R435" s="2" t="s">
        <v>3373</v>
      </c>
      <c r="S435" s="2"/>
      <c r="T435" s="2"/>
      <c r="U435" s="2" t="s">
        <v>3374</v>
      </c>
      <c r="V435" s="2"/>
      <c r="W435" s="2" t="s">
        <v>3375</v>
      </c>
      <c r="X435" s="2"/>
      <c r="Y435" s="2" t="s">
        <v>48</v>
      </c>
      <c r="Z435" s="3" t="s">
        <v>3376</v>
      </c>
      <c r="AA435" s="2" t="s">
        <v>40</v>
      </c>
      <c r="AB435" s="2" t="s">
        <v>50</v>
      </c>
      <c r="AC435" s="2" t="n">
        <v>0</v>
      </c>
      <c r="AD435" s="2" t="n">
        <v>539</v>
      </c>
      <c r="AE435" s="2" t="n">
        <v>0</v>
      </c>
      <c r="AF435" s="2"/>
      <c r="AG435" s="2" t="s">
        <v>3377</v>
      </c>
      <c r="AH435" s="2" t="s">
        <v>3378</v>
      </c>
      <c r="AI435" s="2" t="n">
        <v>0</v>
      </c>
    </row>
    <row r="436" customFormat="false" ht="15" hidden="false" customHeight="false" outlineLevel="0" collapsed="false">
      <c r="A436" s="2" t="n">
        <v>90802</v>
      </c>
      <c r="B436" s="2" t="s">
        <v>3379</v>
      </c>
      <c r="C436" s="2"/>
      <c r="D436" s="2" t="s">
        <v>3380</v>
      </c>
      <c r="E436" s="2" t="s">
        <v>117</v>
      </c>
      <c r="F436" s="2" t="s">
        <v>237</v>
      </c>
      <c r="G436" s="2" t="s">
        <v>39</v>
      </c>
      <c r="H436" s="2" t="s">
        <v>40</v>
      </c>
      <c r="I436" s="2" t="s">
        <v>40</v>
      </c>
      <c r="J436" s="2" t="s">
        <v>3381</v>
      </c>
      <c r="K436" s="2" t="s">
        <v>42</v>
      </c>
      <c r="L436" s="2" t="s">
        <v>43</v>
      </c>
      <c r="M436" s="2" t="s">
        <v>44</v>
      </c>
      <c r="N436" s="2"/>
      <c r="O436" s="2" t="n">
        <v>7.8848668</v>
      </c>
      <c r="P436" s="2" t="n">
        <v>98.3824675</v>
      </c>
      <c r="Q436" s="2"/>
      <c r="R436" s="2" t="s">
        <v>3382</v>
      </c>
      <c r="S436" s="2"/>
      <c r="T436" s="2"/>
      <c r="U436" s="2" t="s">
        <v>3383</v>
      </c>
      <c r="V436" s="2"/>
      <c r="W436" s="2" t="s">
        <v>3384</v>
      </c>
      <c r="X436" s="2"/>
      <c r="Y436" s="2" t="s">
        <v>48</v>
      </c>
      <c r="Z436" s="3" t="s">
        <v>3385</v>
      </c>
      <c r="AA436" s="2" t="s">
        <v>40</v>
      </c>
      <c r="AB436" s="2" t="s">
        <v>50</v>
      </c>
      <c r="AC436" s="2" t="n">
        <v>0</v>
      </c>
      <c r="AD436" s="2" t="n">
        <v>835</v>
      </c>
      <c r="AE436" s="2" t="n">
        <v>1</v>
      </c>
      <c r="AF436" s="2"/>
      <c r="AG436" s="2" t="s">
        <v>3386</v>
      </c>
      <c r="AH436" s="2" t="s">
        <v>3387</v>
      </c>
      <c r="AI436" s="2" t="n">
        <v>0</v>
      </c>
    </row>
    <row r="437" customFormat="false" ht="15" hidden="false" customHeight="false" outlineLevel="0" collapsed="false">
      <c r="A437" s="2" t="n">
        <v>90869</v>
      </c>
      <c r="B437" s="2" t="s">
        <v>3388</v>
      </c>
      <c r="C437" s="2"/>
      <c r="D437" s="2" t="s">
        <v>3389</v>
      </c>
      <c r="E437" s="2" t="s">
        <v>37</v>
      </c>
      <c r="F437" s="2" t="s">
        <v>106</v>
      </c>
      <c r="G437" s="2" t="s">
        <v>39</v>
      </c>
      <c r="H437" s="2" t="s">
        <v>40</v>
      </c>
      <c r="I437" s="2" t="s">
        <v>40</v>
      </c>
      <c r="J437" s="2" t="s">
        <v>3390</v>
      </c>
      <c r="K437" s="2" t="s">
        <v>68</v>
      </c>
      <c r="L437" s="2" t="s">
        <v>43</v>
      </c>
      <c r="M437" s="2" t="s">
        <v>44</v>
      </c>
      <c r="N437" s="2"/>
      <c r="O437" s="2" t="n">
        <v>7.890879</v>
      </c>
      <c r="P437" s="2" t="n">
        <v>98.392368</v>
      </c>
      <c r="Q437" s="2"/>
      <c r="R437" s="2" t="s">
        <v>3391</v>
      </c>
      <c r="S437" s="2"/>
      <c r="T437" s="2"/>
      <c r="U437" s="2" t="s">
        <v>3392</v>
      </c>
      <c r="V437" s="2"/>
      <c r="W437" s="2" t="s">
        <v>3393</v>
      </c>
      <c r="X437" s="2"/>
      <c r="Y437" s="2" t="s">
        <v>48</v>
      </c>
      <c r="Z437" s="3" t="s">
        <v>3394</v>
      </c>
      <c r="AA437" s="2" t="s">
        <v>40</v>
      </c>
      <c r="AB437" s="2" t="s">
        <v>50</v>
      </c>
      <c r="AC437" s="2" t="n">
        <v>0</v>
      </c>
      <c r="AD437" s="2" t="n">
        <v>777</v>
      </c>
      <c r="AE437" s="2" t="n">
        <v>1</v>
      </c>
      <c r="AF437" s="2"/>
      <c r="AG437" s="2" t="s">
        <v>3395</v>
      </c>
      <c r="AH437" s="2" t="s">
        <v>3396</v>
      </c>
      <c r="AI437" s="2" t="n">
        <v>0</v>
      </c>
    </row>
    <row r="438" customFormat="false" ht="15" hidden="false" customHeight="false" outlineLevel="0" collapsed="false">
      <c r="A438" s="2" t="n">
        <v>91372</v>
      </c>
      <c r="B438" s="2" t="s">
        <v>3397</v>
      </c>
      <c r="C438" s="2"/>
      <c r="D438" s="2" t="s">
        <v>1945</v>
      </c>
      <c r="E438" s="2" t="s">
        <v>117</v>
      </c>
      <c r="F438" s="2" t="s">
        <v>38</v>
      </c>
      <c r="G438" s="2" t="s">
        <v>39</v>
      </c>
      <c r="H438" s="2" t="s">
        <v>40</v>
      </c>
      <c r="I438" s="2" t="s">
        <v>40</v>
      </c>
      <c r="J438" s="2" t="s">
        <v>3398</v>
      </c>
      <c r="K438" s="2" t="s">
        <v>42</v>
      </c>
      <c r="L438" s="2" t="s">
        <v>43</v>
      </c>
      <c r="M438" s="2" t="s">
        <v>44</v>
      </c>
      <c r="N438" s="2"/>
      <c r="O438" s="2" t="n">
        <v>7.871543</v>
      </c>
      <c r="P438" s="2" t="n">
        <v>98.380032</v>
      </c>
      <c r="Q438" s="2"/>
      <c r="R438" s="2" t="s">
        <v>3399</v>
      </c>
      <c r="S438" s="2"/>
      <c r="T438" s="2"/>
      <c r="U438" s="2" t="s">
        <v>3400</v>
      </c>
      <c r="V438" s="2"/>
      <c r="W438" s="2" t="s">
        <v>443</v>
      </c>
      <c r="X438" s="2"/>
      <c r="Y438" s="2" t="s">
        <v>48</v>
      </c>
      <c r="Z438" s="3" t="s">
        <v>3401</v>
      </c>
      <c r="AA438" s="2" t="s">
        <v>40</v>
      </c>
      <c r="AB438" s="2" t="s">
        <v>50</v>
      </c>
      <c r="AC438" s="2" t="n">
        <v>0</v>
      </c>
      <c r="AD438" s="2" t="n">
        <v>830</v>
      </c>
      <c r="AE438" s="2" t="n">
        <v>0</v>
      </c>
      <c r="AF438" s="2"/>
      <c r="AG438" s="2" t="s">
        <v>3402</v>
      </c>
      <c r="AH438" s="2" t="s">
        <v>3403</v>
      </c>
      <c r="AI438" s="2" t="n">
        <v>0</v>
      </c>
    </row>
    <row r="439" customFormat="false" ht="15" hidden="false" customHeight="false" outlineLevel="0" collapsed="false">
      <c r="A439" s="2" t="n">
        <v>91367</v>
      </c>
      <c r="B439" s="2" t="s">
        <v>3404</v>
      </c>
      <c r="C439" s="2"/>
      <c r="D439" s="2" t="s">
        <v>1897</v>
      </c>
      <c r="E439" s="2" t="s">
        <v>117</v>
      </c>
      <c r="F439" s="2" t="s">
        <v>38</v>
      </c>
      <c r="G439" s="2" t="s">
        <v>39</v>
      </c>
      <c r="H439" s="2" t="s">
        <v>40</v>
      </c>
      <c r="I439" s="2" t="s">
        <v>40</v>
      </c>
      <c r="J439" s="2" t="s">
        <v>3405</v>
      </c>
      <c r="K439" s="2" t="s">
        <v>78</v>
      </c>
      <c r="L439" s="2" t="s">
        <v>43</v>
      </c>
      <c r="M439" s="2" t="s">
        <v>44</v>
      </c>
      <c r="N439" s="2"/>
      <c r="O439" s="2" t="n">
        <v>7.9070938</v>
      </c>
      <c r="P439" s="2" t="n">
        <v>98.382014</v>
      </c>
      <c r="Q439" s="2"/>
      <c r="R439" s="2" t="s">
        <v>3406</v>
      </c>
      <c r="S439" s="2"/>
      <c r="T439" s="2"/>
      <c r="U439" s="2" t="s">
        <v>3407</v>
      </c>
      <c r="V439" s="2"/>
      <c r="W439" s="2" t="s">
        <v>1395</v>
      </c>
      <c r="X439" s="2"/>
      <c r="Y439" s="2" t="s">
        <v>48</v>
      </c>
      <c r="Z439" s="3" t="s">
        <v>3408</v>
      </c>
      <c r="AA439" s="2" t="s">
        <v>40</v>
      </c>
      <c r="AB439" s="2" t="s">
        <v>50</v>
      </c>
      <c r="AC439" s="2" t="n">
        <v>0</v>
      </c>
      <c r="AD439" s="2" t="n">
        <v>639</v>
      </c>
      <c r="AE439" s="2" t="n">
        <v>0</v>
      </c>
      <c r="AF439" s="2"/>
      <c r="AG439" s="2" t="s">
        <v>3409</v>
      </c>
      <c r="AH439" s="2" t="s">
        <v>3410</v>
      </c>
      <c r="AI439" s="2" t="n">
        <v>0</v>
      </c>
    </row>
    <row r="440" customFormat="false" ht="15" hidden="false" customHeight="false" outlineLevel="0" collapsed="false">
      <c r="A440" s="2" t="n">
        <v>91219</v>
      </c>
      <c r="B440" s="2" t="s">
        <v>3411</v>
      </c>
      <c r="C440" s="2"/>
      <c r="D440" s="2" t="s">
        <v>3412</v>
      </c>
      <c r="E440" s="2" t="s">
        <v>117</v>
      </c>
      <c r="F440" s="2" t="s">
        <v>38</v>
      </c>
      <c r="G440" s="2" t="s">
        <v>39</v>
      </c>
      <c r="H440" s="2" t="s">
        <v>40</v>
      </c>
      <c r="I440" s="2" t="s">
        <v>40</v>
      </c>
      <c r="J440" s="2" t="s">
        <v>727</v>
      </c>
      <c r="K440" s="2" t="s">
        <v>78</v>
      </c>
      <c r="L440" s="2" t="s">
        <v>43</v>
      </c>
      <c r="M440" s="2" t="s">
        <v>44</v>
      </c>
      <c r="N440" s="2"/>
      <c r="O440" s="2" t="n">
        <v>7.9070003</v>
      </c>
      <c r="P440" s="2" t="n">
        <v>98.3746082</v>
      </c>
      <c r="Q440" s="2"/>
      <c r="R440" s="2" t="s">
        <v>3413</v>
      </c>
      <c r="S440" s="2"/>
      <c r="T440" s="2"/>
      <c r="U440" s="2" t="s">
        <v>3414</v>
      </c>
      <c r="V440" s="2"/>
      <c r="W440" s="2" t="s">
        <v>2674</v>
      </c>
      <c r="X440" s="2"/>
      <c r="Y440" s="2" t="s">
        <v>48</v>
      </c>
      <c r="Z440" s="3" t="s">
        <v>3415</v>
      </c>
      <c r="AA440" s="2" t="s">
        <v>40</v>
      </c>
      <c r="AB440" s="2" t="s">
        <v>50</v>
      </c>
      <c r="AC440" s="2" t="n">
        <v>0</v>
      </c>
      <c r="AD440" s="2" t="n">
        <v>869</v>
      </c>
      <c r="AE440" s="2" t="n">
        <v>1</v>
      </c>
      <c r="AF440" s="2"/>
      <c r="AG440" s="2" t="s">
        <v>3416</v>
      </c>
      <c r="AH440" s="2" t="s">
        <v>3417</v>
      </c>
      <c r="AI440" s="2" t="n">
        <v>0</v>
      </c>
    </row>
    <row r="441" customFormat="false" ht="15" hidden="false" customHeight="false" outlineLevel="0" collapsed="false">
      <c r="A441" s="2" t="n">
        <v>90818</v>
      </c>
      <c r="B441" s="2" t="s">
        <v>3418</v>
      </c>
      <c r="C441" s="2"/>
      <c r="D441" s="2" t="s">
        <v>1087</v>
      </c>
      <c r="E441" s="2" t="s">
        <v>117</v>
      </c>
      <c r="F441" s="2" t="s">
        <v>38</v>
      </c>
      <c r="G441" s="2" t="s">
        <v>39</v>
      </c>
      <c r="H441" s="2" t="s">
        <v>40</v>
      </c>
      <c r="I441" s="2" t="s">
        <v>40</v>
      </c>
      <c r="J441" s="2" t="s">
        <v>1485</v>
      </c>
      <c r="K441" s="2" t="s">
        <v>42</v>
      </c>
      <c r="L441" s="2" t="s">
        <v>43</v>
      </c>
      <c r="M441" s="2" t="s">
        <v>44</v>
      </c>
      <c r="N441" s="2"/>
      <c r="O441" s="2" t="n">
        <v>7.878228</v>
      </c>
      <c r="P441" s="2" t="n">
        <v>98.380593</v>
      </c>
      <c r="Q441" s="2" t="s">
        <v>3419</v>
      </c>
      <c r="R441" s="2"/>
      <c r="S441" s="2"/>
      <c r="T441" s="2"/>
      <c r="U441" s="2" t="s">
        <v>3420</v>
      </c>
      <c r="V441" s="2"/>
      <c r="W441" s="2" t="s">
        <v>2368</v>
      </c>
      <c r="X441" s="2"/>
      <c r="Y441" s="2" t="s">
        <v>48</v>
      </c>
      <c r="Z441" s="3" t="s">
        <v>3421</v>
      </c>
      <c r="AA441" s="2" t="s">
        <v>40</v>
      </c>
      <c r="AB441" s="2" t="s">
        <v>50</v>
      </c>
      <c r="AC441" s="2" t="n">
        <v>0</v>
      </c>
      <c r="AD441" s="2" t="n">
        <v>831</v>
      </c>
      <c r="AE441" s="2" t="n">
        <v>0</v>
      </c>
      <c r="AF441" s="2"/>
      <c r="AG441" s="2" t="s">
        <v>3422</v>
      </c>
      <c r="AH441" s="2" t="s">
        <v>3423</v>
      </c>
      <c r="AI441" s="2" t="n">
        <v>0</v>
      </c>
    </row>
    <row r="442" customFormat="false" ht="15" hidden="false" customHeight="false" outlineLevel="0" collapsed="false">
      <c r="A442" s="2" t="n">
        <v>91143</v>
      </c>
      <c r="B442" s="2" t="s">
        <v>3424</v>
      </c>
      <c r="C442" s="2"/>
      <c r="D442" s="2" t="s">
        <v>3425</v>
      </c>
      <c r="E442" s="2" t="s">
        <v>117</v>
      </c>
      <c r="F442" s="2" t="s">
        <v>118</v>
      </c>
      <c r="G442" s="2" t="s">
        <v>39</v>
      </c>
      <c r="H442" s="2" t="s">
        <v>40</v>
      </c>
      <c r="I442" s="2" t="s">
        <v>40</v>
      </c>
      <c r="J442" s="2" t="s">
        <v>1493</v>
      </c>
      <c r="K442" s="2" t="s">
        <v>42</v>
      </c>
      <c r="L442" s="2" t="s">
        <v>43</v>
      </c>
      <c r="M442" s="2" t="s">
        <v>44</v>
      </c>
      <c r="N442" s="2"/>
      <c r="O442" s="2" t="n">
        <v>7.8836389</v>
      </c>
      <c r="P442" s="2" t="n">
        <v>98.3812135</v>
      </c>
      <c r="Q442" s="2"/>
      <c r="R442" s="2" t="s">
        <v>3426</v>
      </c>
      <c r="S442" s="2"/>
      <c r="T442" s="2"/>
      <c r="U442" s="2" t="s">
        <v>3427</v>
      </c>
      <c r="V442" s="2"/>
      <c r="W442" s="2" t="s">
        <v>3428</v>
      </c>
      <c r="X442" s="2"/>
      <c r="Y442" s="2" t="s">
        <v>48</v>
      </c>
      <c r="Z442" s="3" t="s">
        <v>3429</v>
      </c>
      <c r="AA442" s="2" t="s">
        <v>40</v>
      </c>
      <c r="AB442" s="2" t="s">
        <v>50</v>
      </c>
      <c r="AC442" s="2" t="n">
        <v>0</v>
      </c>
      <c r="AD442" s="2" t="n">
        <v>842</v>
      </c>
      <c r="AE442" s="2" t="n">
        <v>1</v>
      </c>
      <c r="AF442" s="2"/>
      <c r="AG442" s="2" t="s">
        <v>3430</v>
      </c>
      <c r="AH442" s="2" t="s">
        <v>3431</v>
      </c>
      <c r="AI442" s="2" t="n">
        <v>0</v>
      </c>
    </row>
    <row r="443" customFormat="false" ht="15" hidden="false" customHeight="false" outlineLevel="0" collapsed="false">
      <c r="A443" s="2" t="n">
        <v>91738</v>
      </c>
      <c r="B443" s="2" t="s">
        <v>3432</v>
      </c>
      <c r="C443" s="2"/>
      <c r="D443" s="2" t="s">
        <v>457</v>
      </c>
      <c r="E443" s="2" t="s">
        <v>37</v>
      </c>
      <c r="F443" s="2" t="s">
        <v>38</v>
      </c>
      <c r="G443" s="2" t="s">
        <v>39</v>
      </c>
      <c r="H443" s="2" t="s">
        <v>40</v>
      </c>
      <c r="I443" s="2" t="s">
        <v>40</v>
      </c>
      <c r="J443" s="2" t="s">
        <v>2645</v>
      </c>
      <c r="K443" s="2" t="s">
        <v>42</v>
      </c>
      <c r="L443" s="2" t="s">
        <v>43</v>
      </c>
      <c r="M443" s="2" t="s">
        <v>44</v>
      </c>
      <c r="N443" s="2"/>
      <c r="O443" s="2" t="n">
        <v>7.868631</v>
      </c>
      <c r="P443" s="2" t="n">
        <v>98.378988</v>
      </c>
      <c r="Q443" s="2"/>
      <c r="R443" s="2" t="s">
        <v>1239</v>
      </c>
      <c r="S443" s="2"/>
      <c r="T443" s="2"/>
      <c r="U443" s="2" t="s">
        <v>3433</v>
      </c>
      <c r="V443" s="2"/>
      <c r="W443" s="2" t="s">
        <v>1395</v>
      </c>
      <c r="X443" s="2"/>
      <c r="Y443" s="2" t="s">
        <v>48</v>
      </c>
      <c r="Z443" s="3" t="s">
        <v>3434</v>
      </c>
      <c r="AA443" s="2" t="s">
        <v>40</v>
      </c>
      <c r="AB443" s="2" t="s">
        <v>50</v>
      </c>
      <c r="AC443" s="2" t="n">
        <v>0</v>
      </c>
      <c r="AD443" s="2" t="n">
        <v>702</v>
      </c>
      <c r="AE443" s="2" t="n">
        <v>0</v>
      </c>
      <c r="AF443" s="2"/>
      <c r="AG443" s="2" t="s">
        <v>3435</v>
      </c>
      <c r="AH443" s="2" t="s">
        <v>3436</v>
      </c>
      <c r="AI443" s="2" t="n">
        <v>0</v>
      </c>
    </row>
    <row r="444" customFormat="false" ht="15" hidden="false" customHeight="false" outlineLevel="0" collapsed="false">
      <c r="A444" s="2" t="n">
        <v>91970</v>
      </c>
      <c r="B444" s="2" t="s">
        <v>3437</v>
      </c>
      <c r="C444" s="2"/>
      <c r="D444" s="2" t="s">
        <v>323</v>
      </c>
      <c r="E444" s="2" t="s">
        <v>117</v>
      </c>
      <c r="F444" s="2" t="s">
        <v>38</v>
      </c>
      <c r="G444" s="2" t="s">
        <v>39</v>
      </c>
      <c r="H444" s="2" t="s">
        <v>40</v>
      </c>
      <c r="I444" s="2" t="s">
        <v>40</v>
      </c>
      <c r="J444" s="2" t="s">
        <v>3438</v>
      </c>
      <c r="K444" s="2" t="s">
        <v>68</v>
      </c>
      <c r="L444" s="2" t="s">
        <v>43</v>
      </c>
      <c r="M444" s="2" t="s">
        <v>44</v>
      </c>
      <c r="N444" s="2"/>
      <c r="O444" s="2" t="n">
        <v>7.884718</v>
      </c>
      <c r="P444" s="2" t="n">
        <v>98.388839</v>
      </c>
      <c r="Q444" s="2"/>
      <c r="R444" s="2" t="s">
        <v>3439</v>
      </c>
      <c r="S444" s="2"/>
      <c r="T444" s="2"/>
      <c r="U444" s="2" t="s">
        <v>3440</v>
      </c>
      <c r="V444" s="2"/>
      <c r="W444" s="2" t="s">
        <v>3441</v>
      </c>
      <c r="X444" s="2"/>
      <c r="Y444" s="2" t="s">
        <v>48</v>
      </c>
      <c r="Z444" s="3" t="s">
        <v>3442</v>
      </c>
      <c r="AA444" s="2" t="s">
        <v>40</v>
      </c>
      <c r="AB444" s="2" t="s">
        <v>50</v>
      </c>
      <c r="AC444" s="2" t="n">
        <v>0</v>
      </c>
      <c r="AD444" s="2" t="n">
        <v>591</v>
      </c>
      <c r="AE444" s="2" t="n">
        <v>0</v>
      </c>
      <c r="AF444" s="2"/>
      <c r="AG444" s="2" t="s">
        <v>3443</v>
      </c>
      <c r="AH444" s="2" t="s">
        <v>3444</v>
      </c>
      <c r="AI444" s="2" t="n">
        <v>0</v>
      </c>
    </row>
    <row r="445" customFormat="false" ht="15" hidden="false" customHeight="false" outlineLevel="0" collapsed="false">
      <c r="A445" s="2" t="n">
        <v>90917</v>
      </c>
      <c r="B445" s="2" t="s">
        <v>3445</v>
      </c>
      <c r="C445" s="2"/>
      <c r="D445" s="2" t="s">
        <v>3446</v>
      </c>
      <c r="E445" s="2" t="s">
        <v>55</v>
      </c>
      <c r="F445" s="2" t="s">
        <v>237</v>
      </c>
      <c r="G445" s="2" t="s">
        <v>39</v>
      </c>
      <c r="H445" s="2" t="s">
        <v>40</v>
      </c>
      <c r="I445" s="2" t="s">
        <v>40</v>
      </c>
      <c r="J445" s="2" t="s">
        <v>2918</v>
      </c>
      <c r="K445" s="2" t="s">
        <v>78</v>
      </c>
      <c r="L445" s="2" t="s">
        <v>43</v>
      </c>
      <c r="M445" s="2" t="s">
        <v>44</v>
      </c>
      <c r="N445" s="2"/>
      <c r="O445" s="2" t="n">
        <v>7.8474222</v>
      </c>
      <c r="P445" s="2" t="n">
        <v>98.3715832</v>
      </c>
      <c r="Q445" s="2" t="s">
        <v>3447</v>
      </c>
      <c r="R445" s="2"/>
      <c r="S445" s="2"/>
      <c r="T445" s="2"/>
      <c r="U445" s="2" t="s">
        <v>3448</v>
      </c>
      <c r="V445" s="2"/>
      <c r="W445" s="2" t="s">
        <v>3180</v>
      </c>
      <c r="X445" s="2"/>
      <c r="Y445" s="2" t="s">
        <v>48</v>
      </c>
      <c r="Z445" s="3" t="s">
        <v>3449</v>
      </c>
      <c r="AA445" s="2" t="s">
        <v>40</v>
      </c>
      <c r="AB445" s="2" t="s">
        <v>50</v>
      </c>
      <c r="AC445" s="2" t="n">
        <v>0</v>
      </c>
      <c r="AD445" s="2" t="n">
        <v>630</v>
      </c>
      <c r="AE445" s="2" t="n">
        <v>1</v>
      </c>
      <c r="AF445" s="2"/>
      <c r="AG445" s="2" t="s">
        <v>3450</v>
      </c>
      <c r="AH445" s="2" t="s">
        <v>3451</v>
      </c>
      <c r="AI445" s="2" t="n">
        <v>0</v>
      </c>
    </row>
    <row r="446" customFormat="false" ht="15" hidden="false" customHeight="false" outlineLevel="0" collapsed="false">
      <c r="A446" s="2" t="n">
        <v>91807</v>
      </c>
      <c r="B446" s="2" t="s">
        <v>3452</v>
      </c>
      <c r="C446" s="2"/>
      <c r="D446" s="2" t="s">
        <v>457</v>
      </c>
      <c r="E446" s="2" t="s">
        <v>55</v>
      </c>
      <c r="F446" s="2" t="s">
        <v>38</v>
      </c>
      <c r="G446" s="2" t="s">
        <v>39</v>
      </c>
      <c r="H446" s="2" t="s">
        <v>40</v>
      </c>
      <c r="I446" s="2" t="s">
        <v>40</v>
      </c>
      <c r="J446" s="2" t="s">
        <v>3453</v>
      </c>
      <c r="K446" s="2" t="s">
        <v>68</v>
      </c>
      <c r="L446" s="2" t="s">
        <v>43</v>
      </c>
      <c r="M446" s="2" t="s">
        <v>44</v>
      </c>
      <c r="N446" s="2"/>
      <c r="O446" s="2" t="n">
        <v>7.879738</v>
      </c>
      <c r="P446" s="2" t="n">
        <v>98.394853</v>
      </c>
      <c r="Q446" s="2"/>
      <c r="R446" s="2" t="s">
        <v>3454</v>
      </c>
      <c r="S446" s="2"/>
      <c r="T446" s="2"/>
      <c r="U446" s="2" t="s">
        <v>3455</v>
      </c>
      <c r="V446" s="2"/>
      <c r="W446" s="2" t="s">
        <v>3456</v>
      </c>
      <c r="X446" s="2"/>
      <c r="Y446" s="2" t="s">
        <v>48</v>
      </c>
      <c r="Z446" s="3" t="s">
        <v>3457</v>
      </c>
      <c r="AA446" s="2" t="s">
        <v>40</v>
      </c>
      <c r="AB446" s="2" t="s">
        <v>50</v>
      </c>
      <c r="AC446" s="2" t="n">
        <v>0</v>
      </c>
      <c r="AD446" s="2" t="n">
        <v>1068</v>
      </c>
      <c r="AE446" s="2" t="n">
        <v>0</v>
      </c>
      <c r="AF446" s="2"/>
      <c r="AG446" s="2" t="s">
        <v>3458</v>
      </c>
      <c r="AH446" s="2" t="s">
        <v>3459</v>
      </c>
      <c r="AI446" s="2" t="n">
        <v>0</v>
      </c>
    </row>
    <row r="447" customFormat="false" ht="15" hidden="false" customHeight="false" outlineLevel="0" collapsed="false">
      <c r="A447" s="2" t="n">
        <v>91173</v>
      </c>
      <c r="B447" s="2" t="s">
        <v>3460</v>
      </c>
      <c r="C447" s="2"/>
      <c r="D447" s="2" t="s">
        <v>654</v>
      </c>
      <c r="E447" s="2" t="s">
        <v>55</v>
      </c>
      <c r="F447" s="2" t="s">
        <v>106</v>
      </c>
      <c r="G447" s="2" t="s">
        <v>39</v>
      </c>
      <c r="H447" s="2" t="s">
        <v>40</v>
      </c>
      <c r="I447" s="2" t="s">
        <v>40</v>
      </c>
      <c r="J447" s="2" t="s">
        <v>490</v>
      </c>
      <c r="K447" s="2" t="s">
        <v>68</v>
      </c>
      <c r="L447" s="2" t="s">
        <v>43</v>
      </c>
      <c r="M447" s="2" t="s">
        <v>44</v>
      </c>
      <c r="N447" s="2"/>
      <c r="O447" s="2" t="n">
        <v>7.8841491</v>
      </c>
      <c r="P447" s="2" t="n">
        <v>98.3944802</v>
      </c>
      <c r="Q447" s="2" t="s">
        <v>3461</v>
      </c>
      <c r="R447" s="2"/>
      <c r="S447" s="2"/>
      <c r="T447" s="2"/>
      <c r="U447" s="2" t="s">
        <v>3462</v>
      </c>
      <c r="V447" s="2"/>
      <c r="W447" s="2" t="s">
        <v>3463</v>
      </c>
      <c r="X447" s="2"/>
      <c r="Y447" s="2" t="s">
        <v>48</v>
      </c>
      <c r="Z447" s="3" t="s">
        <v>3464</v>
      </c>
      <c r="AA447" s="2" t="s">
        <v>40</v>
      </c>
      <c r="AB447" s="2" t="s">
        <v>50</v>
      </c>
      <c r="AC447" s="2" t="n">
        <v>0</v>
      </c>
      <c r="AD447" s="2" t="n">
        <v>672</v>
      </c>
      <c r="AE447" s="2" t="n">
        <v>1</v>
      </c>
      <c r="AF447" s="2"/>
      <c r="AG447" s="2" t="s">
        <v>3465</v>
      </c>
      <c r="AH447" s="2" t="s">
        <v>3466</v>
      </c>
      <c r="AI447" s="2" t="n">
        <v>0</v>
      </c>
    </row>
  </sheetData>
  <autoFilter ref="A1:AI4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3467</v>
      </c>
    </row>
    <row r="2" customFormat="false" ht="15" hidden="false" customHeight="false" outlineLevel="0" collapsed="false">
      <c r="A2" s="5" t="s">
        <v>3468</v>
      </c>
    </row>
    <row r="4" customFormat="false" ht="15" hidden="false" customHeight="false" outlineLevel="0" collapsed="false">
      <c r="A4" s="6" t="s">
        <v>3469</v>
      </c>
      <c r="B4" s="0" t="n">
        <f aca="false">COUNTA(Restaurants!A2:A100000)</f>
        <v>446</v>
      </c>
    </row>
    <row r="6" customFormat="false" ht="15" hidden="false" customHeight="false" outlineLevel="0" collapsed="false">
      <c r="A6" s="6" t="s">
        <v>3470</v>
      </c>
    </row>
    <row r="7" customFormat="false" ht="15" hidden="false" customHeight="false" outlineLevel="0" collapsed="false">
      <c r="A7" s="7" t="s">
        <v>37</v>
      </c>
      <c r="B7" s="7" t="n">
        <f aca="false">COUNTIF(Restaurants!E:E,"101 - 250 บาท")</f>
        <v>207</v>
      </c>
    </row>
    <row r="8" customFormat="false" ht="15" hidden="false" customHeight="false" outlineLevel="0" collapsed="false">
      <c r="A8" s="7" t="s">
        <v>117</v>
      </c>
      <c r="B8" s="7" t="n">
        <f aca="false">COUNTIF(Restaurants!E:E,"ต่ำกว่า 100 บาท")</f>
        <v>125</v>
      </c>
    </row>
    <row r="9" customFormat="false" ht="15" hidden="false" customHeight="false" outlineLevel="0" collapsed="false">
      <c r="A9" s="7" t="s">
        <v>55</v>
      </c>
      <c r="B9" s="7" t="n">
        <f aca="false">COUNTIF(Restaurants!E:E,"251 - 500 บาท")</f>
        <v>92</v>
      </c>
    </row>
    <row r="10" customFormat="false" ht="15" hidden="false" customHeight="false" outlineLevel="0" collapsed="false">
      <c r="A10" s="7" t="s">
        <v>105</v>
      </c>
      <c r="B10" s="7" t="n">
        <f aca="false">COUNTIF(Restaurants!E:E,"501 - 1000 บาท")</f>
        <v>19</v>
      </c>
    </row>
    <row r="11" customFormat="false" ht="15" hidden="false" customHeight="false" outlineLevel="0" collapsed="false">
      <c r="A11" s="7" t="s">
        <v>279</v>
      </c>
      <c r="B11" s="7" t="n">
        <f aca="false">COUNTIF(Restaurants!E:E,"มากกว่า 1000 บาท")</f>
        <v>3</v>
      </c>
    </row>
    <row r="13" customFormat="false" ht="15" hidden="false" customHeight="false" outlineLevel="0" collapsed="false">
      <c r="A13" s="6" t="s">
        <v>3471</v>
      </c>
    </row>
    <row r="14" customFormat="false" ht="15" hidden="false" customHeight="false" outlineLevel="0" collapsed="false">
      <c r="A14" s="7" t="s">
        <v>43</v>
      </c>
      <c r="B14" s="7" t="n">
        <f aca="false">COUNTIF(Restaurants!L:L,"เมืองภูเก็ต")</f>
        <v>343</v>
      </c>
    </row>
    <row r="15" customFormat="false" ht="15" hidden="false" customHeight="false" outlineLevel="0" collapsed="false">
      <c r="A15" s="7" t="s">
        <v>109</v>
      </c>
      <c r="B15" s="7" t="n">
        <f aca="false">COUNTIF(Restaurants!L:L,"กะทู้")</f>
        <v>60</v>
      </c>
    </row>
    <row r="16" customFormat="false" ht="15" hidden="false" customHeight="false" outlineLevel="0" collapsed="false">
      <c r="A16" s="7" t="s">
        <v>58</v>
      </c>
      <c r="B16" s="7" t="n">
        <f aca="false">COUNTIF(Restaurants!L:L,"ถลาง")</f>
        <v>43</v>
      </c>
    </row>
    <row r="18" customFormat="false" ht="15" hidden="false" customHeight="false" outlineLevel="0" collapsed="false">
      <c r="A18" s="6" t="s">
        <v>3472</v>
      </c>
      <c r="B18" s="7" t="n">
        <f aca="false">SUMPRODUCT(((Restaurants!Q2:Q100000&lt;&gt;"")+(Restaurants!R2:R100000&lt;&gt;"")&gt;0)*1)</f>
        <v>441</v>
      </c>
    </row>
    <row r="19" customFormat="false" ht="15" hidden="false" customHeight="false" outlineLevel="0" collapsed="false">
      <c r="A19" s="6" t="s">
        <v>3473</v>
      </c>
      <c r="B19" s="7" t="n">
        <f aca="false">COUNTIF(Restaurants!U2:U100000,"?*")</f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2026-07-13T09:48:46Z</dcterms:created>
  <dc:creator>openpyxl</dc:creator>
  <dc:description/>
  <dc:language>en-US</dc:language>
  <cp:lastModifiedBy/>
  <dcterms:modified xsi:type="dcterms:W3CDTF">2026-07-13T09:48:47Z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